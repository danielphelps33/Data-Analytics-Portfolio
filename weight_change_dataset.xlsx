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bigji\Documents\work\Data Stuff\portfolio\diet table\"/>
    </mc:Choice>
  </mc:AlternateContent>
  <xr:revisionPtr revIDLastSave="0" documentId="13_ncr:1_{3840A643-0CE5-40B4-98D9-B55DE2157446}" xr6:coauthVersionLast="47" xr6:coauthVersionMax="47" xr10:uidLastSave="{00000000-0000-0000-0000-000000000000}"/>
  <bookViews>
    <workbookView xWindow="10718" yWindow="0" windowWidth="10965" windowHeight="12863" xr2:uid="{85632B75-EFE3-4281-A537-2C72F8525081}"/>
  </bookViews>
  <sheets>
    <sheet name="weight_change_dataset" sheetId="1" r:id="rId1"/>
    <sheet name="stressvsleep_chart" sheetId="4" r:id="rId2"/>
  </sheets>
  <definedNames>
    <definedName name="Slicer_Physical_Activity_Level">#N/A</definedName>
  </definedNames>
  <calcPr calcId="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<sst xmlns="http://schemas.openxmlformats.org/spreadsheetml/2006/main" count="319" uniqueCount="25">
  <si>
    <t>Age</t>
  </si>
  <si>
    <t>Gender</t>
  </si>
  <si>
    <t>Current Weight (lbs)</t>
  </si>
  <si>
    <t>BMR (Calories)</t>
  </si>
  <si>
    <t>Daily Calories Consumed</t>
  </si>
  <si>
    <t>Daily Caloric Surplus/Deficit</t>
  </si>
  <si>
    <t>Weight Change (lbs)</t>
  </si>
  <si>
    <t>Physical Activity Level</t>
  </si>
  <si>
    <t>Sleep Quality</t>
  </si>
  <si>
    <t>Stress Level</t>
  </si>
  <si>
    <t>Final Weight (lbs)</t>
  </si>
  <si>
    <t>M</t>
  </si>
  <si>
    <t>Sedentary</t>
  </si>
  <si>
    <t>Excellent</t>
  </si>
  <si>
    <t>F</t>
  </si>
  <si>
    <t>Very Active</t>
  </si>
  <si>
    <t>Good</t>
  </si>
  <si>
    <t>Fair</t>
  </si>
  <si>
    <t>Lightly Active</t>
  </si>
  <si>
    <t>Poor</t>
  </si>
  <si>
    <t>Moderately Active</t>
  </si>
  <si>
    <t>Duration of Study (weeks)</t>
  </si>
  <si>
    <t>Grand Total</t>
  </si>
  <si>
    <t>Column Labels</t>
  </si>
  <si>
    <t>Sum of Stress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</si>
</sst>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6" fillId="18" borderId="10" xfId="27" applyFont="1" applyBorder="1" applyAlignment="1">
      <alignment wrapText="1"/>
    </xf>
    <xf numFmtId="0" fontId="0" fillId="0" borderId="0" xfId="0" pivotButton="1"/>
    <xf numFmtId="0" fontId="0" fillId="0" borderId="0" xfId="0" applyAlignment="1">
      <alignment shrinkToFi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colors>
    <mruColors>
      <color rgb="FFF67E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[weight_change_dataset.xlsx]stressvsleep_chart!PivotTable4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Stress Levels vs. Sleep Quality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stressvsleep_chart!$B$1:$B$2</c:f>
              <c:strCache>
                <c:ptCount val="1"/>
                <c:pt idx="0">
                  <c:v>Excellent</c:v>
                </c:pt>
              </c:strCache>
            </c:strRef>
          </c:tx>
          <c:spPr>
            <a:solidFill>
              <a:schemeClr val="accent1"/>
            </a:solidFill>
            <a:ln>
              <a:noFill/>
            </a:ln>
            <a:effectLst/>
          </c:spPr>
          <c:invertIfNegative val="0"/>
          <c:cat>
            <c:strRef>
              <c:f>stressvsleep_chart!$A$3</c:f>
              <c:strCache>
                <c:ptCount val="1"/>
                <c:pt idx="0">
                  <c:v>Total</c:v>
                </c:pt>
              </c:strCache>
            </c:strRef>
          </c:cat>
          <c:val>
            <c:numRef>
              <c:f>stressvsleep_chart!$B$3</c:f>
              <c:numCache>
                <c:formatCode>General</c:formatCode>
                <c:ptCount val="1"/>
                <c:pt idx="0">
                  <c:v>26</c:v>
                </c:pt>
              </c:numCache>
            </c:numRef>
          </c:val>
          <c:extLst>
            <c:ext xmlns:c16="http://schemas.microsoft.com/office/drawing/2014/chart" uri="{C3380CC4-5D6E-409C-BE32-E72D297353CC}">
              <c16:uniqueId val="{00000004-53D8-4E40-A68A-3B4622766BC8}"/>
            </c:ext>
          </c:extLst>
        </c:ser>
        <c:ser>
          <c:idx val="1"/>
          <c:order val="1"/>
          <c:tx>
            <c:strRef>
              <c:f>stressvsleep_chart!$C$1:$C$2</c:f>
              <c:strCache>
                <c:ptCount val="1"/>
                <c:pt idx="0">
                  <c:v>Fair</c:v>
                </c:pt>
              </c:strCache>
            </c:strRef>
          </c:tx>
          <c:spPr>
            <a:solidFill>
              <a:schemeClr val="accent2"/>
            </a:solidFill>
            <a:ln>
              <a:noFill/>
            </a:ln>
            <a:effectLst/>
          </c:spPr>
          <c:invertIfNegative val="0"/>
          <c:cat>
            <c:strRef>
              <c:f>stressvsleep_chart!$A$3</c:f>
              <c:strCache>
                <c:ptCount val="1"/>
                <c:pt idx="0">
                  <c:v>Total</c:v>
                </c:pt>
              </c:strCache>
            </c:strRef>
          </c:cat>
          <c:val>
            <c:numRef>
              <c:f>stressvsleep_chart!$C$3</c:f>
              <c:numCache>
                <c:formatCode>General</c:formatCode>
                <c:ptCount val="1"/>
                <c:pt idx="0">
                  <c:v>28</c:v>
                </c:pt>
              </c:numCache>
            </c:numRef>
          </c:val>
          <c:extLst>
            <c:ext xmlns:c16="http://schemas.microsoft.com/office/drawing/2014/chart" uri="{C3380CC4-5D6E-409C-BE32-E72D297353CC}">
              <c16:uniqueId val="{00000072-53D8-4E40-A68A-3B4622766BC8}"/>
            </c:ext>
          </c:extLst>
        </c:ser>
        <c:ser>
          <c:idx val="2"/>
          <c:order val="2"/>
          <c:tx>
            <c:strRef>
              <c:f>stressvsleep_chart!$D$1:$D$2</c:f>
              <c:strCache>
                <c:ptCount val="1"/>
                <c:pt idx="0">
                  <c:v>Good</c:v>
                </c:pt>
              </c:strCache>
            </c:strRef>
          </c:tx>
          <c:spPr>
            <a:solidFill>
              <a:schemeClr val="accent3"/>
            </a:solidFill>
            <a:ln>
              <a:noFill/>
            </a:ln>
            <a:effectLst/>
          </c:spPr>
          <c:invertIfNegative val="0"/>
          <c:cat>
            <c:strRef>
              <c:f>stressvsleep_chart!$A$3</c:f>
              <c:strCache>
                <c:ptCount val="1"/>
                <c:pt idx="0">
                  <c:v>Total</c:v>
                </c:pt>
              </c:strCache>
            </c:strRef>
          </c:cat>
          <c:val>
            <c:numRef>
              <c:f>stressvsleep_chart!$D$3</c:f>
              <c:numCache>
                <c:formatCode>General</c:formatCode>
                <c:ptCount val="1"/>
                <c:pt idx="0">
                  <c:v>4</c:v>
                </c:pt>
              </c:numCache>
            </c:numRef>
          </c:val>
          <c:extLst>
            <c:ext xmlns:c16="http://schemas.microsoft.com/office/drawing/2014/chart" uri="{C3380CC4-5D6E-409C-BE32-E72D297353CC}">
              <c16:uniqueId val="{00000073-53D8-4E40-A68A-3B4622766BC8}"/>
            </c:ext>
          </c:extLst>
        </c:ser>
        <c:ser>
          <c:idx val="3"/>
          <c:order val="3"/>
          <c:tx>
            <c:strRef>
              <c:f>stressvsleep_chart!$E$1:$E$2</c:f>
              <c:strCache>
                <c:ptCount val="1"/>
                <c:pt idx="0">
                  <c:v>Poor</c:v>
                </c:pt>
              </c:strCache>
            </c:strRef>
          </c:tx>
          <c:spPr>
            <a:solidFill>
              <a:schemeClr val="accent4"/>
            </a:solidFill>
            <a:ln>
              <a:noFill/>
            </a:ln>
            <a:effectLst/>
          </c:spPr>
          <c:invertIfNegative val="0"/>
          <c:cat>
            <c:strRef>
              <c:f>stressvsleep_chart!$A$3</c:f>
              <c:strCache>
                <c:ptCount val="1"/>
                <c:pt idx="0">
                  <c:v>Total</c:v>
                </c:pt>
              </c:strCache>
            </c:strRef>
          </c:cat>
          <c:val>
            <c:numRef>
              <c:f>stressvsleep_chart!$E$3</c:f>
              <c:numCache>
                <c:formatCode>General</c:formatCode>
                <c:ptCount val="1"/>
                <c:pt idx="0">
                  <c:v>56</c:v>
                </c:pt>
              </c:numCache>
            </c:numRef>
          </c:val>
          <c:extLst>
            <c:ext xmlns:c16="http://schemas.microsoft.com/office/drawing/2014/chart" uri="{C3380CC4-5D6E-409C-BE32-E72D297353CC}">
              <c16:uniqueId val="{00000074-53D8-4E40-A68A-3B4622766BC8}"/>
            </c:ext>
          </c:extLst>
        </c:ser>
        <c:dLbls>
          <c:showLegendKey val="0"/>
          <c:showVal val="0"/>
          <c:showCatName val="0"/>
          <c:showSerName val="0"/>
          <c:showPercent val="0"/>
          <c:showBubbleSize val="0"/>
        </c:dLbls>
        <c:gapWidth val="219"/>
        <c:overlap val="-27"/>
        <c:axId val="355433568"/>
        <c:axId val="355435488"/>
      </c:barChart>
      <c:catAx>
        <c:axId val="35543356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Sleep</a:t>
                </a:r>
                <a:r>
                  <a:rPr lang="en-US" b="1" baseline="0"/>
                  <a:t> Quality</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55435488"/>
        <c:crosses val="autoZero"/>
        <c:auto val="1"/>
        <c:lblAlgn val="ctr"/>
        <c:lblOffset val="100"/>
        <c:noMultiLvlLbl val="0"/>
      </c:catAx>
      <c:valAx>
        <c:axId val="355435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Stress Level</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33568"/>
        <c:crosses val="autoZero"/>
        <c:crossBetween val="between"/>
      </c:valAx>
      <c:spPr>
        <a:noFill/>
        <a:ln>
          <a:noFill/>
        </a:ln>
        <a:effectLst/>
      </c:spPr>
    </c:plotArea>
    <c:legend>
      <c:legendPos val="r"/>
      <c:layout>
        <c:manualLayout>
          <c:xMode val="edge"/>
          <c:yMode val="edge"/>
          <c:x val="0.84314933202406728"/>
          <c:y val="0.47329833770778651"/>
          <c:w val="0.13658035675014171"/>
          <c:h val="0.410301472732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9524</xdr:colOff>
      <xdr:row>5</xdr:row>
      <xdr:rowOff>61911</xdr:rowOff>
    </xdr:from>
    <xdr:to>
      <xdr:col>25</xdr:col>
      <xdr:colOff>33338</xdr:colOff>
      <xdr:row>20</xdr:row>
      <xdr:rowOff>90486</xdr:rowOff>
    </xdr:to>
    <xdr:graphicFrame macro="">
      <xdr:nvGraphicFramePr>
        <xdr:cNvPr id="2" name="Chart 1">
          <a:extLst>
            <a:ext uri="{FF2B5EF4-FFF2-40B4-BE49-F238E27FC236}">
              <a16:creationId xmlns:a16="http://schemas.microsoft.com/office/drawing/2014/main" id="{2B3ED4B1-BD28-650E-2FA6-664958F51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157161</xdr:colOff>
      <xdr:row>2</xdr:row>
      <xdr:rowOff>42863</xdr:rowOff>
    </xdr:from>
    <xdr:to>
      <xdr:col>38</xdr:col>
      <xdr:colOff>123825</xdr:colOff>
      <xdr:row>17</xdr:row>
      <xdr:rowOff>4764</xdr:rowOff>
    </xdr:to>
    <mc:AlternateContent xmlns:mc="http://schemas.openxmlformats.org/markup-compatibility/2006" xmlns:a14="http://schemas.microsoft.com/office/drawing/2010/main">
      <mc:Choice Requires="a14">
        <xdr:graphicFrame macro="">
          <xdr:nvGraphicFramePr>
            <xdr:cNvPr id="3" name="Physical Activity Level">
              <a:extLst>
                <a:ext uri="{FF2B5EF4-FFF2-40B4-BE49-F238E27FC236}">
                  <a16:creationId xmlns:a16="http://schemas.microsoft.com/office/drawing/2014/main" id="{A9137512-D365-08D5-A4D7-E857EE8A3535}"/>
                </a:ext>
              </a:extLst>
            </xdr:cNvPr>
            <xdr:cNvGraphicFramePr/>
          </xdr:nvGraphicFramePr>
          <xdr:xfrm>
            <a:off x="0" y="0"/>
            <a:ext cx="0" cy="0"/>
          </xdr:xfrm>
          <a:graphic>
            <a:graphicData uri="http://schemas.microsoft.com/office/drawing/2010/slicer">
              <sle:slicer xmlns:sle="http://schemas.microsoft.com/office/drawing/2010/slicer" name="Physical Activity Level"/>
            </a:graphicData>
          </a:graphic>
        </xdr:graphicFrame>
      </mc:Choice>
      <mc:Fallback xmlns="">
        <xdr:sp macro="" textlink="">
          <xdr:nvSpPr>
            <xdr:cNvPr id="0" name=""/>
            <xdr:cNvSpPr>
              <a:spLocks noTextEdit="1"/>
            </xdr:cNvSpPr>
          </xdr:nvSpPr>
          <xdr:spPr>
            <a:xfrm>
              <a:off x="8124824" y="404813"/>
              <a:ext cx="2114551" cy="2676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dgeon royal" refreshedDate="46058.567136226855" createdVersion="8" refreshedVersion="8" minRefreshableVersion="3" recordCount="102" xr:uid="{28DE6342-F1B6-4DB2-9E4F-4DE55E2BA454}">
  <cacheSource type="worksheet">
    <worksheetSource ref="A1:L1048576" sheet="weight_change_dataset"/>
  </cacheSource>
  <cacheFields count="12">
    <cacheField name="Age" numFmtId="0">
      <sharedItems containsString="0" containsBlank="1" containsNumber="1" containsInteger="1" minValue="18" maxValue="59" count="41">
        <n v="59"/>
        <n v="58"/>
        <n v="57"/>
        <n v="56"/>
        <n v="55"/>
        <n v="54"/>
        <n v="53"/>
        <n v="52"/>
        <n v="51"/>
        <n v="50"/>
        <n v="48"/>
        <n v="47"/>
        <n v="46"/>
        <n v="45"/>
        <n v="44"/>
        <n v="43"/>
        <n v="42"/>
        <n v="41"/>
        <n v="40"/>
        <n v="39"/>
        <n v="38"/>
        <n v="37"/>
        <n v="36"/>
        <n v="35"/>
        <n v="34"/>
        <n v="33"/>
        <n v="32"/>
        <n v="31"/>
        <n v="29"/>
        <n v="28"/>
        <n v="27"/>
        <n v="26"/>
        <n v="25"/>
        <n v="24"/>
        <n v="23"/>
        <n v="22"/>
        <n v="21"/>
        <n v="20"/>
        <n v="19"/>
        <n v="18"/>
        <m/>
      </sharedItems>
    </cacheField>
    <cacheField name="Gender" numFmtId="0">
      <sharedItems containsBlank="1"/>
    </cacheField>
    <cacheField name="Current Weight (lbs)" numFmtId="0">
      <sharedItems containsString="0" containsBlank="1" containsNumber="1" minValue="100" maxValue="238.2"/>
    </cacheField>
    <cacheField name="BMR (Calories)" numFmtId="0">
      <sharedItems containsString="0" containsBlank="1" containsNumber="1" minValue="1566.5" maxValue="3390.8"/>
    </cacheField>
    <cacheField name="Daily Calories Consumed" numFmtId="0">
      <sharedItems containsString="0" containsBlank="1" containsNumber="1" minValue="2030.9" maxValue="4000"/>
    </cacheField>
    <cacheField name="Daily Caloric Surplus/Deficit" numFmtId="0">
      <sharedItems containsString="0" containsBlank="1" containsNumber="1" minValue="-917.5" maxValue="922.5"/>
    </cacheField>
    <cacheField name="Weight Change (lbs)" numFmtId="0">
      <sharedItems containsString="0" containsBlank="1" containsNumber="1" minValue="-35.6781152679361" maxValue="5"/>
    </cacheField>
    <cacheField name="Duration of Study (weeks)" numFmtId="0">
      <sharedItems containsString="0" containsBlank="1" containsNumber="1" containsInteger="1" minValue="1" maxValue="12"/>
    </cacheField>
    <cacheField name="Physical Activity Level" numFmtId="0">
      <sharedItems containsBlank="1" count="5">
        <s v="Very Active"/>
        <s v="Lightly Active"/>
        <s v="Sedentary"/>
        <s v="Moderately Active"/>
        <m/>
      </sharedItems>
    </cacheField>
    <cacheField name="Sleep Quality" numFmtId="0">
      <sharedItems containsBlank="1" count="5">
        <s v="Excellent"/>
        <s v="Good"/>
        <s v="Poor"/>
        <s v="Fair"/>
        <m/>
      </sharedItems>
    </cacheField>
    <cacheField name="Stress Level" numFmtId="0">
      <sharedItems containsString="0" containsBlank="1" containsNumber="1" containsInteger="1" minValue="1" maxValue="9"/>
    </cacheField>
    <cacheField name="Final Weight (lbs)" numFmtId="0">
      <sharedItems containsString="0" containsBlank="1" containsNumber="1" minValue="98.2" maxValue="232.5"/>
    </cacheField>
  </cacheFields>
  <extLst>
    <ext xmlns:x14="http://schemas.microsoft.com/office/spreadsheetml/2009/9/main" uri="{725AE2AE-9491-48be-B2B4-4EB974FC3084}">
      <x14:pivotCacheDefinition pivotCacheId="888640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s v="M"/>
    <n v="151.4"/>
    <n v="2318"/>
    <n v="3877.8"/>
    <n v="559.79999999999995"/>
    <n v="-3.67873573844316"/>
    <n v="6"/>
    <x v="0"/>
    <x v="0"/>
    <n v="8"/>
    <n v="147.69999999999999"/>
  </r>
  <r>
    <x v="0"/>
    <s v="M"/>
    <n v="165.6"/>
    <n v="2459.6999999999998"/>
    <n v="4000"/>
    <n v="540.29999999999995"/>
    <n v="4.8"/>
    <n v="12"/>
    <x v="0"/>
    <x v="1"/>
    <n v="2"/>
    <n v="170.4"/>
  </r>
  <r>
    <x v="0"/>
    <s v="M"/>
    <n v="181.9"/>
    <n v="2622.8"/>
    <n v="3656.2"/>
    <n v="33.400000000000091"/>
    <n v="0.6"/>
    <n v="2"/>
    <x v="1"/>
    <x v="0"/>
    <n v="3"/>
    <n v="182.5"/>
  </r>
  <r>
    <x v="1"/>
    <s v="M"/>
    <n v="198.8"/>
    <n v="2796.3"/>
    <n v="3622.6"/>
    <n v="-173.60000000000002"/>
    <n v="-4.3780125170548496"/>
    <n v="9"/>
    <x v="1"/>
    <x v="2"/>
    <n v="1"/>
    <n v="194.4"/>
  </r>
  <r>
    <x v="1"/>
    <s v="F"/>
    <n v="162.69999999999999"/>
    <n v="2188.6"/>
    <n v="3344.3"/>
    <n v="155.79999999999995"/>
    <n v="3.6"/>
    <n v="12"/>
    <x v="1"/>
    <x v="3"/>
    <n v="7"/>
    <n v="166.3"/>
  </r>
  <r>
    <x v="2"/>
    <s v="F"/>
    <n v="147.30000000000001"/>
    <n v="2039"/>
    <n v="2803.1"/>
    <n v="-235.89999999999998"/>
    <n v="1.2"/>
    <n v="6"/>
    <x v="2"/>
    <x v="0"/>
    <n v="2"/>
    <n v="148.5"/>
  </r>
  <r>
    <x v="2"/>
    <s v="M"/>
    <n v="170.4"/>
    <n v="2517.6999999999998"/>
    <n v="3378.1"/>
    <n v="-139.60000000000002"/>
    <n v="-12.484775710647501"/>
    <n v="6"/>
    <x v="1"/>
    <x v="2"/>
    <n v="8"/>
    <n v="157.9"/>
  </r>
  <r>
    <x v="2"/>
    <s v="F"/>
    <n v="100"/>
    <n v="1566.5"/>
    <n v="2030.9"/>
    <n v="-535.6"/>
    <n v="-1.6583471296689001"/>
    <n v="1"/>
    <x v="1"/>
    <x v="1"/>
    <n v="9"/>
    <n v="98.3"/>
  </r>
  <r>
    <x v="3"/>
    <s v="M"/>
    <n v="228.4"/>
    <n v="3102.3"/>
    <n v="3916"/>
    <n v="-186.29999999999995"/>
    <n v="0.2"/>
    <n v="1"/>
    <x v="2"/>
    <x v="0"/>
    <n v="6"/>
    <n v="228.6"/>
  </r>
  <r>
    <x v="3"/>
    <s v="F"/>
    <n v="152.9"/>
    <n v="2100.6"/>
    <n v="2262.4"/>
    <n v="-838.1"/>
    <n v="-12.5134981229796"/>
    <n v="9"/>
    <x v="2"/>
    <x v="2"/>
    <n v="6"/>
    <n v="140.4"/>
  </r>
  <r>
    <x v="3"/>
    <s v="F"/>
    <n v="157.5"/>
    <n v="2146.6"/>
    <n v="3521.7"/>
    <n v="375.09999999999991"/>
    <n v="4.8"/>
    <n v="12"/>
    <x v="3"/>
    <x v="3"/>
    <n v="4"/>
    <n v="162.30000000000001"/>
  </r>
  <r>
    <x v="3"/>
    <s v="F"/>
    <n v="116.5"/>
    <n v="1736.5"/>
    <n v="2756.5"/>
    <n v="20"/>
    <n v="-8.9230901840993901"/>
    <n v="12"/>
    <x v="3"/>
    <x v="1"/>
    <n v="9"/>
    <n v="107.6"/>
  </r>
  <r>
    <x v="4"/>
    <s v="M"/>
    <n v="202"/>
    <n v="2843.5"/>
    <n v="4000"/>
    <n v="156.5"/>
    <n v="2.1"/>
    <n v="7"/>
    <x v="0"/>
    <x v="3"/>
    <n v="2"/>
    <n v="204.1"/>
  </r>
  <r>
    <x v="5"/>
    <s v="M"/>
    <n v="156.69999999999999"/>
    <n v="2395.9"/>
    <n v="3648.8"/>
    <n v="252.90000000000009"/>
    <n v="-2.6603012530661401"/>
    <n v="3"/>
    <x v="3"/>
    <x v="2"/>
    <n v="4"/>
    <n v="154"/>
  </r>
  <r>
    <x v="6"/>
    <s v="M"/>
    <n v="138.4"/>
    <n v="2217.4"/>
    <n v="3604.9"/>
    <n v="387.59999999999991"/>
    <n v="2"/>
    <n v="5"/>
    <x v="3"/>
    <x v="0"/>
    <n v="5"/>
    <n v="140.4"/>
  </r>
  <r>
    <x v="6"/>
    <s v="M"/>
    <n v="154.30000000000001"/>
    <n v="2377"/>
    <n v="3544.5"/>
    <n v="167.5"/>
    <n v="-0.96141556802668204"/>
    <n v="1"/>
    <x v="3"/>
    <x v="2"/>
    <n v="4"/>
    <n v="153.30000000000001"/>
  </r>
  <r>
    <x v="6"/>
    <s v="F"/>
    <n v="163.19999999999999"/>
    <n v="2218.5"/>
    <n v="2927.5"/>
    <n v="-291"/>
    <n v="-1.5802498228366"/>
    <n v="4"/>
    <x v="2"/>
    <x v="2"/>
    <n v="5"/>
    <n v="161.6"/>
  </r>
  <r>
    <x v="7"/>
    <s v="M"/>
    <n v="226.2"/>
    <n v="3100.4"/>
    <n v="4000"/>
    <n v="-100.39999999999998"/>
    <n v="-1.6209250094177201"/>
    <n v="1"/>
    <x v="3"/>
    <x v="1"/>
    <n v="8"/>
    <n v="224.6"/>
  </r>
  <r>
    <x v="7"/>
    <s v="F"/>
    <n v="181.8"/>
    <n v="2409.8000000000002"/>
    <n v="2640.7"/>
    <n v="-769.1"/>
    <n v="1"/>
    <n v="10"/>
    <x v="1"/>
    <x v="0"/>
    <n v="7"/>
    <n v="182.8"/>
  </r>
  <r>
    <x v="7"/>
    <s v="M"/>
    <n v="169.9"/>
    <n v="2537.3000000000002"/>
    <n v="3269.5"/>
    <n v="-267.79999999999995"/>
    <n v="1.6"/>
    <n v="8"/>
    <x v="2"/>
    <x v="3"/>
    <n v="2"/>
    <n v="171.5"/>
  </r>
  <r>
    <x v="8"/>
    <s v="F"/>
    <n v="173.2"/>
    <n v="2328.1999999999998"/>
    <n v="2450.6"/>
    <n v="-877.6"/>
    <n v="0"/>
    <n v="12"/>
    <x v="2"/>
    <x v="3"/>
    <n v="2"/>
    <n v="173.2"/>
  </r>
  <r>
    <x v="9"/>
    <s v="M"/>
    <n v="234.8"/>
    <n v="3196.4"/>
    <n v="4000"/>
    <n v="-196.39999999999998"/>
    <n v="-2.62336075041596"/>
    <n v="4"/>
    <x v="1"/>
    <x v="2"/>
    <n v="2"/>
    <n v="232.2"/>
  </r>
  <r>
    <x v="9"/>
    <s v="M"/>
    <n v="122.9"/>
    <n v="2077.5"/>
    <n v="4000"/>
    <n v="922.5"/>
    <n v="5"/>
    <n v="10"/>
    <x v="0"/>
    <x v="0"/>
    <n v="6"/>
    <n v="127.9"/>
  </r>
  <r>
    <x v="10"/>
    <s v="M"/>
    <n v="203.1"/>
    <n v="2889.6"/>
    <n v="3451.7"/>
    <n v="-437.79999999999995"/>
    <n v="0.6"/>
    <n v="3"/>
    <x v="2"/>
    <x v="1"/>
    <n v="1"/>
    <n v="203.7"/>
  </r>
  <r>
    <x v="11"/>
    <s v="M"/>
    <n v="213"/>
    <n v="2993.8"/>
    <n v="4000"/>
    <n v="6.2000000000000455"/>
    <n v="0.3"/>
    <n v="1"/>
    <x v="3"/>
    <x v="3"/>
    <n v="2"/>
    <n v="213.3"/>
  </r>
  <r>
    <x v="12"/>
    <s v="F"/>
    <n v="165.4"/>
    <n v="2275.5"/>
    <n v="3823"/>
    <n v="547.5"/>
    <n v="2.4"/>
    <n v="6"/>
    <x v="0"/>
    <x v="0"/>
    <n v="6"/>
    <n v="167.8"/>
  </r>
  <r>
    <x v="12"/>
    <s v="M"/>
    <n v="198.9"/>
    <n v="2858.2"/>
    <n v="4000"/>
    <n v="141.79999999999995"/>
    <n v="-5.5302609166933498"/>
    <n v="6"/>
    <x v="0"/>
    <x v="2"/>
    <n v="3"/>
    <n v="193.4"/>
  </r>
  <r>
    <x v="12"/>
    <s v="F"/>
    <n v="182.5"/>
    <n v="2446.9"/>
    <n v="4000"/>
    <n v="553.09999999999991"/>
    <n v="-24.190067828017401"/>
    <n v="11"/>
    <x v="0"/>
    <x v="2"/>
    <n v="8"/>
    <n v="158.30000000000001"/>
  </r>
  <r>
    <x v="13"/>
    <s v="F"/>
    <n v="180.7"/>
    <n v="2433.3000000000002"/>
    <n v="3236"/>
    <n v="-197.29999999999995"/>
    <n v="1.4"/>
    <n v="7"/>
    <x v="1"/>
    <x v="3"/>
    <n v="7"/>
    <n v="182.1"/>
  </r>
  <r>
    <x v="13"/>
    <s v="F"/>
    <n v="197.8"/>
    <n v="2604.4"/>
    <n v="4000"/>
    <n v="395.59999999999991"/>
    <n v="4.8"/>
    <n v="12"/>
    <x v="3"/>
    <x v="1"/>
    <n v="7"/>
    <n v="202.6"/>
  </r>
  <r>
    <x v="13"/>
    <s v="M"/>
    <n v="179.8"/>
    <n v="2671.9"/>
    <n v="4000"/>
    <n v="328.09999999999991"/>
    <n v="2"/>
    <n v="5"/>
    <x v="3"/>
    <x v="3"/>
    <n v="5"/>
    <n v="181.8"/>
  </r>
  <r>
    <x v="14"/>
    <s v="M"/>
    <n v="191.8"/>
    <n v="2797.1"/>
    <n v="4000"/>
    <n v="202.90000000000009"/>
    <n v="3.6"/>
    <n v="12"/>
    <x v="3"/>
    <x v="3"/>
    <n v="1"/>
    <n v="195.4"/>
  </r>
  <r>
    <x v="15"/>
    <s v="M"/>
    <n v="182.8"/>
    <n v="2712.2"/>
    <n v="4000"/>
    <n v="287.79999999999995"/>
    <n v="2.8"/>
    <n v="7"/>
    <x v="0"/>
    <x v="1"/>
    <n v="2"/>
    <n v="185.6"/>
  </r>
  <r>
    <x v="15"/>
    <s v="M"/>
    <n v="173.3"/>
    <n v="2616.4"/>
    <n v="4000"/>
    <n v="383.59999999999991"/>
    <n v="4.4000000000000004"/>
    <n v="11"/>
    <x v="3"/>
    <x v="1"/>
    <n v="5"/>
    <n v="177.7"/>
  </r>
  <r>
    <x v="15"/>
    <s v="F"/>
    <n v="136.6"/>
    <n v="2002.8"/>
    <n v="3669"/>
    <n v="666.2"/>
    <n v="1.5"/>
    <n v="3"/>
    <x v="0"/>
    <x v="3"/>
    <n v="1"/>
    <n v="138.1"/>
  </r>
  <r>
    <x v="16"/>
    <s v="F"/>
    <n v="149.30000000000001"/>
    <n v="2134.6999999999998"/>
    <n v="2882.6"/>
    <n v="-252.20000000000005"/>
    <n v="0.6"/>
    <n v="3"/>
    <x v="1"/>
    <x v="3"/>
    <n v="6"/>
    <n v="149.9"/>
  </r>
  <r>
    <x v="16"/>
    <s v="M"/>
    <n v="141.5"/>
    <n v="2303.3000000000002"/>
    <n v="3352.3"/>
    <n v="49"/>
    <n v="3.6"/>
    <n v="12"/>
    <x v="1"/>
    <x v="0"/>
    <n v="2"/>
    <n v="145.1"/>
  </r>
  <r>
    <x v="16"/>
    <s v="F"/>
    <n v="196"/>
    <n v="2601.6999999999998"/>
    <n v="3730.2"/>
    <n v="128.5"/>
    <n v="2.1"/>
    <n v="7"/>
    <x v="1"/>
    <x v="1"/>
    <n v="4"/>
    <n v="198.1"/>
  </r>
  <r>
    <x v="16"/>
    <s v="F"/>
    <n v="174.4"/>
    <n v="2385.6"/>
    <n v="2829.4"/>
    <n v="-556.20000000000005"/>
    <n v="0.8"/>
    <n v="8"/>
    <x v="1"/>
    <x v="3"/>
    <n v="4"/>
    <n v="175.2"/>
  </r>
  <r>
    <x v="17"/>
    <s v="M"/>
    <n v="194.5"/>
    <n v="2839.1"/>
    <n v="4000"/>
    <n v="160.90000000000009"/>
    <n v="-5.0282990636390998"/>
    <n v="5"/>
    <x v="0"/>
    <x v="2"/>
    <n v="5"/>
    <n v="189.5"/>
  </r>
  <r>
    <x v="17"/>
    <s v="F"/>
    <n v="183.7"/>
    <n v="2483.6999999999998"/>
    <n v="2845"/>
    <n v="-638.70000000000005"/>
    <n v="-3.1424679580335502"/>
    <n v="3"/>
    <x v="2"/>
    <x v="2"/>
    <n v="3"/>
    <n v="180.6"/>
  </r>
  <r>
    <x v="17"/>
    <s v="M"/>
    <n v="162.80000000000001"/>
    <n v="2521.3000000000002"/>
    <n v="4000"/>
    <n v="478.70000000000005"/>
    <n v="-4.2755034479895997"/>
    <n v="4"/>
    <x v="0"/>
    <x v="2"/>
    <n v="6"/>
    <n v="158.5"/>
  </r>
  <r>
    <x v="17"/>
    <s v="F"/>
    <n v="156.1"/>
    <n v="2207.6999999999998"/>
    <n v="3458.1"/>
    <n v="250.40000000000009"/>
    <n v="-5.2695425141346401"/>
    <n v="6"/>
    <x v="3"/>
    <x v="3"/>
    <n v="8"/>
    <n v="150.80000000000001"/>
  </r>
  <r>
    <x v="17"/>
    <s v="F"/>
    <n v="169.7"/>
    <n v="2343.1"/>
    <n v="3103.8"/>
    <n v="-239.29999999999995"/>
    <n v="-12.5019453210992"/>
    <n v="8"/>
    <x v="1"/>
    <x v="2"/>
    <n v="7"/>
    <n v="157.19999999999999"/>
  </r>
  <r>
    <x v="17"/>
    <s v="M"/>
    <n v="196.2"/>
    <n v="2855.4"/>
    <n v="3623.3"/>
    <n v="-232.10000000000002"/>
    <n v="-11.2500149773169"/>
    <n v="8"/>
    <x v="2"/>
    <x v="3"/>
    <n v="8"/>
    <n v="184.9"/>
  </r>
  <r>
    <x v="18"/>
    <s v="M"/>
    <n v="207.9"/>
    <n v="2977.9"/>
    <n v="4000"/>
    <n v="22.100000000000023"/>
    <n v="-35.6781152679361"/>
    <n v="11"/>
    <x v="3"/>
    <x v="2"/>
    <n v="9"/>
    <n v="172.2"/>
  </r>
  <r>
    <x v="18"/>
    <s v="F"/>
    <n v="137.19999999999999"/>
    <n v="2023.3"/>
    <n v="3827.8"/>
    <n v="804.5"/>
    <n v="-10.263076108510701"/>
    <n v="9"/>
    <x v="0"/>
    <x v="2"/>
    <n v="1"/>
    <n v="126.9"/>
  </r>
  <r>
    <x v="19"/>
    <s v="M"/>
    <n v="180.3"/>
    <n v="2707.2"/>
    <n v="4000"/>
    <n v="292.79999999999995"/>
    <n v="0.4"/>
    <n v="1"/>
    <x v="3"/>
    <x v="3"/>
    <n v="6"/>
    <n v="180.7"/>
  </r>
  <r>
    <x v="19"/>
    <s v="M"/>
    <n v="163.6"/>
    <n v="2539.5"/>
    <n v="3355.7"/>
    <n v="-183.70000000000005"/>
    <n v="-22.609478833001599"/>
    <n v="12"/>
    <x v="1"/>
    <x v="2"/>
    <n v="9"/>
    <n v="141"/>
  </r>
  <r>
    <x v="20"/>
    <s v="M"/>
    <n v="155.5"/>
    <n v="2463.8000000000002"/>
    <n v="3312.8"/>
    <n v="-151"/>
    <n v="2"/>
    <n v="10"/>
    <x v="1"/>
    <x v="1"/>
    <n v="1"/>
    <n v="157.5"/>
  </r>
  <r>
    <x v="20"/>
    <s v="F"/>
    <n v="214.4"/>
    <n v="2805.6"/>
    <n v="3274.1"/>
    <n v="-531.5"/>
    <n v="0.4"/>
    <n v="4"/>
    <x v="2"/>
    <x v="0"/>
    <n v="3"/>
    <n v="214.8"/>
  </r>
  <r>
    <x v="20"/>
    <s v="F"/>
    <n v="228"/>
    <n v="2941.7"/>
    <n v="4000"/>
    <n v="58.299999999999955"/>
    <n v="0.9"/>
    <n v="3"/>
    <x v="3"/>
    <x v="0"/>
    <n v="1"/>
    <n v="228.9"/>
  </r>
  <r>
    <x v="20"/>
    <s v="F"/>
    <n v="145.9"/>
    <n v="2120.5"/>
    <n v="3734.5"/>
    <n v="614"/>
    <n v="-1.39435830463013"/>
    <n v="1"/>
    <x v="0"/>
    <x v="2"/>
    <n v="9"/>
    <n v="144.5"/>
  </r>
  <r>
    <x v="21"/>
    <s v="M"/>
    <n v="184.5"/>
    <n v="2758.3"/>
    <n v="3406.3"/>
    <n v="-352.1"/>
    <n v="-4.9880275260013196"/>
    <n v="3"/>
    <x v="2"/>
    <x v="3"/>
    <n v="9"/>
    <n v="179.5"/>
  </r>
  <r>
    <x v="22"/>
    <s v="M"/>
    <n v="107.3"/>
    <n v="1991.3"/>
    <n v="2933.4"/>
    <n v="-57.899999999999977"/>
    <n v="-2.43730695743346"/>
    <n v="2"/>
    <x v="3"/>
    <x v="2"/>
    <n v="5"/>
    <n v="104.9"/>
  </r>
  <r>
    <x v="23"/>
    <s v="M"/>
    <n v="195.7"/>
    <n v="2881"/>
    <n v="4000"/>
    <n v="119"/>
    <n v="-32.342604547321599"/>
    <n v="10"/>
    <x v="3"/>
    <x v="2"/>
    <n v="8"/>
    <n v="163.4"/>
  </r>
  <r>
    <x v="23"/>
    <s v="M"/>
    <n v="138.1"/>
    <n v="2304.3000000000002"/>
    <n v="3424.8"/>
    <n v="120.5"/>
    <n v="1.5"/>
    <n v="5"/>
    <x v="1"/>
    <x v="0"/>
    <n v="5"/>
    <n v="139.6"/>
  </r>
  <r>
    <x v="23"/>
    <s v="F"/>
    <n v="158.5"/>
    <n v="2261.5"/>
    <n v="3199.8"/>
    <n v="-61.700000000000045"/>
    <n v="-4.3398143988869498"/>
    <n v="6"/>
    <x v="3"/>
    <x v="2"/>
    <n v="6"/>
    <n v="154.19999999999999"/>
  </r>
  <r>
    <x v="24"/>
    <s v="M"/>
    <n v="151.19999999999999"/>
    <n v="2441.1"/>
    <n v="3179.8"/>
    <n v="-261.20000000000005"/>
    <n v="-18.539995247598501"/>
    <n v="8"/>
    <x v="1"/>
    <x v="2"/>
    <n v="8"/>
    <n v="132.69999999999999"/>
  </r>
  <r>
    <x v="24"/>
    <s v="F"/>
    <n v="129.69999999999999"/>
    <n v="1978.4"/>
    <n v="2773.9"/>
    <n v="-204.60000000000002"/>
    <n v="-6.5567843627578704"/>
    <n v="12"/>
    <x v="1"/>
    <x v="2"/>
    <n v="7"/>
    <n v="123.1"/>
  </r>
  <r>
    <x v="25"/>
    <s v="M"/>
    <n v="169.3"/>
    <n v="2627.2"/>
    <n v="4000"/>
    <n v="372.79999999999995"/>
    <n v="4.4000000000000004"/>
    <n v="11"/>
    <x v="0"/>
    <x v="3"/>
    <n v="3"/>
    <n v="173.7"/>
  </r>
  <r>
    <x v="25"/>
    <s v="F"/>
    <n v="169.9"/>
    <n v="2385"/>
    <n v="3795.2"/>
    <n v="410.20000000000005"/>
    <n v="-12.9951209757348"/>
    <n v="5"/>
    <x v="3"/>
    <x v="2"/>
    <n v="9"/>
    <n v="156.9"/>
  </r>
  <r>
    <x v="26"/>
    <s v="F"/>
    <n v="142.80000000000001"/>
    <n v="2119.4"/>
    <n v="2785.4"/>
    <n v="-334"/>
    <n v="1.4"/>
    <n v="7"/>
    <x v="2"/>
    <x v="1"/>
    <n v="3"/>
    <n v="144.19999999999999"/>
  </r>
  <r>
    <x v="26"/>
    <s v="M"/>
    <n v="206.5"/>
    <n v="3004.2"/>
    <n v="4000"/>
    <n v="-4.2000000000000455"/>
    <n v="3"/>
    <n v="10"/>
    <x v="1"/>
    <x v="1"/>
    <n v="1"/>
    <n v="209.5"/>
  </r>
  <r>
    <x v="26"/>
    <s v="F"/>
    <n v="114.5"/>
    <n v="1836.6"/>
    <n v="2724.7"/>
    <n v="-111.79999999999995"/>
    <n v="-5.6592466751278003"/>
    <n v="4"/>
    <x v="0"/>
    <x v="2"/>
    <n v="5"/>
    <n v="108.8"/>
  </r>
  <r>
    <x v="26"/>
    <s v="F"/>
    <n v="113.4"/>
    <n v="1825.5"/>
    <n v="2987.7"/>
    <n v="162.20000000000005"/>
    <n v="3.6"/>
    <n v="12"/>
    <x v="3"/>
    <x v="3"/>
    <n v="1"/>
    <n v="117"/>
  </r>
  <r>
    <x v="27"/>
    <s v="F"/>
    <n v="153.9"/>
    <n v="2235.6999999999998"/>
    <n v="3195.6"/>
    <n v="-40.100000000000023"/>
    <n v="2.4"/>
    <n v="8"/>
    <x v="1"/>
    <x v="1"/>
    <n v="6"/>
    <n v="156.30000000000001"/>
  </r>
  <r>
    <x v="27"/>
    <s v="M"/>
    <n v="181.9"/>
    <n v="2762.7"/>
    <n v="3433.5"/>
    <n v="-329.20000000000005"/>
    <n v="1.8"/>
    <n v="9"/>
    <x v="2"/>
    <x v="1"/>
    <n v="4"/>
    <n v="183.7"/>
  </r>
  <r>
    <x v="27"/>
    <s v="F"/>
    <n v="189.6"/>
    <n v="2592.4"/>
    <n v="4000"/>
    <n v="407.59999999999991"/>
    <n v="-4.75482104575475"/>
    <n v="3"/>
    <x v="0"/>
    <x v="2"/>
    <n v="6"/>
    <n v="184.8"/>
  </r>
  <r>
    <x v="27"/>
    <s v="M"/>
    <n v="140.4"/>
    <n v="2348.1"/>
    <n v="3602.8"/>
    <n v="254.59999999999991"/>
    <n v="0.8"/>
    <n v="2"/>
    <x v="1"/>
    <x v="1"/>
    <n v="2"/>
    <n v="141.19999999999999"/>
  </r>
  <r>
    <x v="28"/>
    <s v="M"/>
    <n v="207"/>
    <n v="3023.3"/>
    <n v="4000"/>
    <n v="-23.299999999999955"/>
    <n v="1.8"/>
    <n v="6"/>
    <x v="3"/>
    <x v="1"/>
    <n v="4"/>
    <n v="208.8"/>
  </r>
  <r>
    <x v="29"/>
    <s v="F"/>
    <n v="169.5"/>
    <n v="2406.9"/>
    <n v="3890.2"/>
    <n v="483.40000000000009"/>
    <n v="-8.4766329839358594"/>
    <n v="10"/>
    <x v="0"/>
    <x v="2"/>
    <n v="1"/>
    <n v="161"/>
  </r>
  <r>
    <x v="29"/>
    <s v="F"/>
    <n v="169.2"/>
    <n v="2403.3000000000002"/>
    <n v="2485.8000000000002"/>
    <n v="-917.5"/>
    <n v="0"/>
    <n v="2"/>
    <x v="2"/>
    <x v="0"/>
    <n v="7"/>
    <n v="169.2"/>
  </r>
  <r>
    <x v="29"/>
    <s v="M"/>
    <n v="209"/>
    <n v="3048.9"/>
    <n v="4000"/>
    <n v="-48.899999999999977"/>
    <n v="-4.4548391429855601"/>
    <n v="10"/>
    <x v="1"/>
    <x v="2"/>
    <n v="3"/>
    <n v="204.5"/>
  </r>
  <r>
    <x v="30"/>
    <s v="F"/>
    <n v="197.6"/>
    <n v="2692.7"/>
    <n v="4000"/>
    <n v="307.29999999999995"/>
    <n v="2"/>
    <n v="5"/>
    <x v="0"/>
    <x v="0"/>
    <n v="6"/>
    <n v="199.6"/>
  </r>
  <r>
    <x v="31"/>
    <s v="F"/>
    <n v="172.4"/>
    <n v="2445.8000000000002"/>
    <n v="3379.8"/>
    <n v="-66"/>
    <n v="-0.73611670650415695"/>
    <n v="2"/>
    <x v="1"/>
    <x v="2"/>
    <n v="1"/>
    <n v="171.7"/>
  </r>
  <r>
    <x v="31"/>
    <s v="M"/>
    <n v="202.9"/>
    <n v="2997.7"/>
    <n v="3803.8"/>
    <n v="-194"/>
    <n v="-5.0069824297658796"/>
    <n v="9"/>
    <x v="2"/>
    <x v="2"/>
    <n v="5"/>
    <n v="197.9"/>
  </r>
  <r>
    <x v="31"/>
    <s v="M"/>
    <n v="125.1"/>
    <n v="2219.3000000000002"/>
    <n v="2647.8"/>
    <n v="-571.5"/>
    <n v="1.2"/>
    <n v="12"/>
    <x v="2"/>
    <x v="1"/>
    <n v="6"/>
    <n v="126.3"/>
  </r>
  <r>
    <x v="32"/>
    <s v="F"/>
    <n v="145.5"/>
    <n v="2181.3000000000002"/>
    <n v="2587.3000000000002"/>
    <n v="-594"/>
    <n v="0.8"/>
    <n v="8"/>
    <x v="2"/>
    <x v="3"/>
    <n v="2"/>
    <n v="146.30000000000001"/>
  </r>
  <r>
    <x v="32"/>
    <s v="F"/>
    <n v="190.3"/>
    <n v="2629.7"/>
    <n v="4000"/>
    <n v="370.29999999999995"/>
    <n v="4.8"/>
    <n v="12"/>
    <x v="0"/>
    <x v="3"/>
    <n v="6"/>
    <n v="195.1"/>
  </r>
  <r>
    <x v="32"/>
    <s v="M"/>
    <n v="205.1"/>
    <n v="3024.3"/>
    <n v="4000"/>
    <n v="-24.299999999999955"/>
    <n v="-7.8863315139557804"/>
    <n v="9"/>
    <x v="0"/>
    <x v="3"/>
    <n v="9"/>
    <n v="197.2"/>
  </r>
  <r>
    <x v="32"/>
    <s v="M"/>
    <n v="165.8"/>
    <n v="2631.5"/>
    <n v="3536"/>
    <n v="-95.5"/>
    <n v="1.5"/>
    <n v="5"/>
    <x v="1"/>
    <x v="0"/>
    <n v="2"/>
    <n v="167.3"/>
  </r>
  <r>
    <x v="32"/>
    <s v="M"/>
    <n v="195.5"/>
    <n v="2928.8"/>
    <n v="3758.6"/>
    <n v="-170.20000000000005"/>
    <n v="0.8"/>
    <n v="4"/>
    <x v="1"/>
    <x v="0"/>
    <n v="3"/>
    <n v="196.3"/>
  </r>
  <r>
    <x v="33"/>
    <s v="M"/>
    <n v="181.3"/>
    <n v="2792.2"/>
    <n v="3944.2"/>
    <n v="152"/>
    <n v="-9.7716013406853097"/>
    <n v="7"/>
    <x v="1"/>
    <x v="1"/>
    <n v="8"/>
    <n v="171.5"/>
  </r>
  <r>
    <x v="33"/>
    <s v="F"/>
    <n v="144.9"/>
    <n v="2180.1999999999998"/>
    <n v="3225.2"/>
    <n v="45"/>
    <n v="-5.5797177644138296"/>
    <n v="9"/>
    <x v="1"/>
    <x v="2"/>
    <n v="7"/>
    <n v="139.30000000000001"/>
  </r>
  <r>
    <x v="33"/>
    <s v="M"/>
    <n v="186.2"/>
    <n v="2840.6"/>
    <n v="3911.7"/>
    <n v="71"/>
    <n v="-14.453604085928999"/>
    <n v="6"/>
    <x v="3"/>
    <x v="2"/>
    <n v="8"/>
    <n v="171.7"/>
  </r>
  <r>
    <x v="33"/>
    <s v="M"/>
    <n v="185.2"/>
    <n v="2830.7"/>
    <n v="4000"/>
    <n v="169.29999999999995"/>
    <n v="2.7"/>
    <n v="9"/>
    <x v="0"/>
    <x v="3"/>
    <n v="7"/>
    <n v="187.9"/>
  </r>
  <r>
    <x v="34"/>
    <s v="F"/>
    <n v="185"/>
    <n v="2587"/>
    <n v="3327.8"/>
    <n v="-259.20000000000005"/>
    <n v="2"/>
    <n v="10"/>
    <x v="2"/>
    <x v="1"/>
    <n v="3"/>
    <n v="187"/>
  </r>
  <r>
    <x v="35"/>
    <s v="M"/>
    <n v="214.4"/>
    <n v="3132.7"/>
    <n v="4000"/>
    <n v="-132.70000000000005"/>
    <n v="2.4"/>
    <n v="12"/>
    <x v="1"/>
    <x v="1"/>
    <n v="3"/>
    <n v="216.8"/>
  </r>
  <r>
    <x v="36"/>
    <s v="M"/>
    <n v="191.5"/>
    <n v="2909.2"/>
    <n v="4000"/>
    <n v="90.799999999999955"/>
    <n v="1.2"/>
    <n v="4"/>
    <x v="1"/>
    <x v="3"/>
    <n v="5"/>
    <n v="192.7"/>
  </r>
  <r>
    <x v="36"/>
    <s v="M"/>
    <n v="181.3"/>
    <n v="2807.1"/>
    <n v="4000"/>
    <n v="192.90000000000009"/>
    <n v="-1.1358263786563001"/>
    <n v="5"/>
    <x v="3"/>
    <x v="3"/>
    <n v="9"/>
    <n v="180.2"/>
  </r>
  <r>
    <x v="36"/>
    <s v="F"/>
    <n v="175.4"/>
    <n v="2500.6999999999998"/>
    <n v="3314.8"/>
    <n v="-185.79999999999995"/>
    <n v="-2.6577203645565102"/>
    <n v="5"/>
    <x v="2"/>
    <x v="2"/>
    <n v="3"/>
    <n v="172.7"/>
  </r>
  <r>
    <x v="37"/>
    <s v="F"/>
    <n v="168.1"/>
    <n v="2432.1999999999998"/>
    <n v="3885.8"/>
    <n v="453.59999999999991"/>
    <n v="-2.3309636335467601"/>
    <n v="8"/>
    <x v="0"/>
    <x v="2"/>
    <n v="7"/>
    <n v="165.8"/>
  </r>
  <r>
    <x v="37"/>
    <s v="M"/>
    <n v="158.30000000000001"/>
    <n v="2581.9"/>
    <n v="4000"/>
    <n v="418.09999999999991"/>
    <n v="-2.2035061849246298"/>
    <n v="10"/>
    <x v="0"/>
    <x v="2"/>
    <n v="5"/>
    <n v="156.1"/>
  </r>
  <r>
    <x v="38"/>
    <s v="M"/>
    <n v="167.6"/>
    <n v="2679.7"/>
    <n v="3252.4"/>
    <n v="-427.29999999999995"/>
    <n v="1.2"/>
    <n v="6"/>
    <x v="2"/>
    <x v="1"/>
    <n v="2"/>
    <n v="168.8"/>
  </r>
  <r>
    <x v="38"/>
    <s v="M"/>
    <n v="100"/>
    <n v="2003.8"/>
    <n v="3086.2"/>
    <n v="82.5"/>
    <n v="2.7"/>
    <n v="9"/>
    <x v="1"/>
    <x v="1"/>
    <n v="2"/>
    <n v="102.7"/>
  </r>
  <r>
    <x v="38"/>
    <s v="F"/>
    <n v="100"/>
    <n v="1756.5"/>
    <n v="2148.6999999999998"/>
    <n v="-607.79999999999995"/>
    <n v="-1.7940639836913701"/>
    <n v="1"/>
    <x v="2"/>
    <x v="2"/>
    <n v="3"/>
    <n v="98.2"/>
  </r>
  <r>
    <x v="38"/>
    <s v="M"/>
    <n v="171.9"/>
    <n v="2722.6"/>
    <n v="3434.8"/>
    <n v="-287.79999999999995"/>
    <n v="-7.2955803819746903"/>
    <n v="6"/>
    <x v="1"/>
    <x v="2"/>
    <n v="3"/>
    <n v="164.6"/>
  </r>
  <r>
    <x v="39"/>
    <s v="M"/>
    <n v="238.2"/>
    <n v="3390.8"/>
    <n v="4000"/>
    <n v="-390.79999999999995"/>
    <n v="-5.7184959924849004"/>
    <n v="10"/>
    <x v="3"/>
    <x v="2"/>
    <n v="3"/>
    <n v="232.5"/>
  </r>
  <r>
    <x v="39"/>
    <s v="M"/>
    <n v="182.4"/>
    <n v="2832.8"/>
    <n v="4000"/>
    <n v="167.20000000000005"/>
    <n v="-17.150130677860499"/>
    <n v="12"/>
    <x v="3"/>
    <x v="2"/>
    <n v="8"/>
    <n v="165.2"/>
  </r>
  <r>
    <x v="40"/>
    <m/>
    <m/>
    <m/>
    <m/>
    <m/>
    <m/>
    <m/>
    <x v="4"/>
    <x v="4"/>
    <m/>
    <m/>
  </r>
  <r>
    <x v="40"/>
    <m/>
    <m/>
    <m/>
    <m/>
    <m/>
    <m/>
    <m/>
    <x v="4"/>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F68871-CB2D-4A30-9415-5DED77ECCE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F3" firstHeaderRow="1" firstDataRow="2" firstDataCol="1"/>
  <pivotFields count="12">
    <pivotField showAll="0">
      <items count="42">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0"/>
        <item t="default"/>
      </items>
    </pivotField>
    <pivotField showAll="0"/>
    <pivotField showAll="0"/>
    <pivotField showAll="0"/>
    <pivotField showAll="0"/>
    <pivotField showAll="0"/>
    <pivotField showAll="0"/>
    <pivotField showAll="0"/>
    <pivotField showAll="0">
      <items count="6">
        <item h="1" x="1"/>
        <item h="1" x="3"/>
        <item h="1" x="2"/>
        <item x="0"/>
        <item h="1" x="4"/>
        <item t="default"/>
      </items>
    </pivotField>
    <pivotField axis="axisCol" showAll="0">
      <items count="6">
        <item x="0"/>
        <item x="3"/>
        <item x="1"/>
        <item x="2"/>
        <item h="1" x="4"/>
        <item t="default"/>
      </items>
    </pivotField>
    <pivotField dataField="1" showAll="0"/>
    <pivotField showAll="0"/>
  </pivotFields>
  <rowItems count="1">
    <i/>
  </rowItems>
  <colFields count="1">
    <field x="9"/>
  </colFields>
  <colItems count="5">
    <i>
      <x/>
    </i>
    <i>
      <x v="1"/>
    </i>
    <i>
      <x v="2"/>
    </i>
    <i>
      <x v="3"/>
    </i>
    <i t="grand">
      <x/>
    </i>
  </colItems>
  <dataFields count="1">
    <dataField name="Sum of Stress Level" fld="10" baseField="0" baseItem="0"/>
  </dataFields>
  <chartFormats count="5">
    <chartFormat chart="0" format="3" series="1">
      <pivotArea type="data" outline="0" fieldPosition="0">
        <references count="1">
          <reference field="4294967294" count="1" selected="0">
            <x v="0"/>
          </reference>
        </references>
      </pivotArea>
    </chartFormat>
    <chartFormat chart="0" format="44" series="1">
      <pivotArea type="data" outline="0" fieldPosition="0">
        <references count="2">
          <reference field="4294967294" count="1" selected="0">
            <x v="0"/>
          </reference>
          <reference field="9" count="1" selected="0">
            <x v="1"/>
          </reference>
        </references>
      </pivotArea>
    </chartFormat>
    <chartFormat chart="0" format="45" series="1">
      <pivotArea type="data" outline="0" fieldPosition="0">
        <references count="2">
          <reference field="4294967294" count="1" selected="0">
            <x v="0"/>
          </reference>
          <reference field="9" count="1" selected="0">
            <x v="2"/>
          </reference>
        </references>
      </pivotArea>
    </chartFormat>
    <chartFormat chart="0" format="46" series="1">
      <pivotArea type="data" outline="0" fieldPosition="0">
        <references count="2">
          <reference field="4294967294" count="1" selected="0">
            <x v="0"/>
          </reference>
          <reference field="9" count="1" selected="0">
            <x v="3"/>
          </reference>
        </references>
      </pivotArea>
    </chartFormat>
    <chartFormat chart="0" format="47"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_Level" xr10:uid="{4488413F-3A29-4D16-834B-BA2C58BF0F2C}" sourceName="Physical Activity Level">
  <pivotTables>
    <pivotTable tabId="4" name="PivotTable4"/>
  </pivotTables>
  <data>
    <tabular pivotCacheId="888640902">
      <items count="5">
        <i x="1"/>
        <i x="3"/>
        <i x="2"/>
        <i x="0"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ysical Activity Level" xr10:uid="{58CB8535-2930-4ABF-82CA-7BB8754D4293}" cache="Slicer_Physical_Activity_Level" caption="Physical Activity Level"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04B1-4AE4-4674-A458-754CC76E169B}">
  <dimension ref="A1:L101"/>
  <sheetViews>
    <sheetView tabSelected="1" workbookViewId="0">
      <pane ySplit="1" topLeftCell="A2" activePane="bottomLeft" state="frozen"/>
      <selection pane="bottomLeft" activeCell="F2" sqref="F2:F101"/>
    </sheetView>
  </sheetViews>
  <sheetFormatPr defaultRowHeight="14.25" x14ac:dyDescent="0.45"/>
  <cols>
    <col min="5" max="5" width="10.1328125" customWidth="1"/>
    <col min="6" max="6" width="13.3984375" customWidth="1"/>
  </cols>
  <sheetData>
    <row r="1" spans="1:12" s="1" customFormat="1" ht="42.75" x14ac:dyDescent="0.45">
      <c r="A1" s="2" t="s">
        <v>0</v>
      </c>
      <c r="B1" s="2" t="s">
        <v>1</v>
      </c>
      <c r="C1" s="2" t="s">
        <v>2</v>
      </c>
      <c r="D1" s="2" t="s">
        <v>3</v>
      </c>
      <c r="E1" s="2" t="s">
        <v>4</v>
      </c>
      <c r="F1" s="2" t="s">
        <v>5</v>
      </c>
      <c r="G1" s="2" t="s">
        <v>6</v>
      </c>
      <c r="H1" s="2" t="s">
        <v>21</v>
      </c>
      <c r="I1" s="2" t="s">
        <v>7</v>
      </c>
      <c r="J1" s="2" t="s">
        <v>8</v>
      </c>
      <c r="K1" s="2" t="s">
        <v>9</v>
      </c>
      <c r="L1" s="2" t="s">
        <v>10</v>
      </c>
    </row>
    <row r="2" spans="1:12" x14ac:dyDescent="0.45">
      <c r="A2">
        <v>59</v>
      </c>
      <c r="B2" t="s">
        <v>11</v>
      </c>
      <c r="C2">
        <v>151.4</v>
      </c>
      <c r="D2">
        <v>2318</v>
      </c>
      <c r="E2">
        <v>3877.8</v>
      </c>
      <c r="F2" s="4">
        <v>559.79999999999995</v>
      </c>
      <c r="G2">
        <v>-3.67873573844316</v>
      </c>
      <c r="H2">
        <v>6</v>
      </c>
      <c r="I2" t="s">
        <v>15</v>
      </c>
      <c r="J2" t="s">
        <v>13</v>
      </c>
      <c r="K2">
        <v>8</v>
      </c>
      <c r="L2">
        <v>147.69999999999999</v>
      </c>
    </row>
    <row r="3" spans="1:12" x14ac:dyDescent="0.45">
      <c r="A3">
        <v>59</v>
      </c>
      <c r="B3" t="s">
        <v>11</v>
      </c>
      <c r="C3">
        <v>165.6</v>
      </c>
      <c r="D3">
        <v>2459.6999999999998</v>
      </c>
      <c r="E3">
        <v>4000</v>
      </c>
      <c r="F3" s="4">
        <v>540.29999999999995</v>
      </c>
      <c r="G3">
        <v>4.8</v>
      </c>
      <c r="H3">
        <v>12</v>
      </c>
      <c r="I3" t="s">
        <v>15</v>
      </c>
      <c r="J3" t="s">
        <v>16</v>
      </c>
      <c r="K3">
        <v>2</v>
      </c>
      <c r="L3">
        <v>170.4</v>
      </c>
    </row>
    <row r="4" spans="1:12" x14ac:dyDescent="0.45">
      <c r="A4">
        <v>59</v>
      </c>
      <c r="B4" t="s">
        <v>11</v>
      </c>
      <c r="C4">
        <v>181.9</v>
      </c>
      <c r="D4">
        <v>2622.8</v>
      </c>
      <c r="E4">
        <v>3656.2</v>
      </c>
      <c r="F4" s="4">
        <v>33.400000000000091</v>
      </c>
      <c r="G4">
        <v>0.6</v>
      </c>
      <c r="H4">
        <v>2</v>
      </c>
      <c r="I4" t="s">
        <v>18</v>
      </c>
      <c r="J4" t="s">
        <v>13</v>
      </c>
      <c r="K4">
        <v>3</v>
      </c>
      <c r="L4">
        <v>182.5</v>
      </c>
    </row>
    <row r="5" spans="1:12" x14ac:dyDescent="0.45">
      <c r="A5">
        <v>58</v>
      </c>
      <c r="B5" t="s">
        <v>11</v>
      </c>
      <c r="C5">
        <v>198.8</v>
      </c>
      <c r="D5">
        <v>2796.3</v>
      </c>
      <c r="E5">
        <v>3622.6</v>
      </c>
      <c r="F5" s="4">
        <v>-173.60000000000002</v>
      </c>
      <c r="G5">
        <v>-4.3780125170548496</v>
      </c>
      <c r="H5">
        <v>9</v>
      </c>
      <c r="I5" t="s">
        <v>18</v>
      </c>
      <c r="J5" t="s">
        <v>19</v>
      </c>
      <c r="K5">
        <v>1</v>
      </c>
      <c r="L5">
        <v>194.4</v>
      </c>
    </row>
    <row r="6" spans="1:12" x14ac:dyDescent="0.45">
      <c r="A6">
        <v>58</v>
      </c>
      <c r="B6" t="s">
        <v>14</v>
      </c>
      <c r="C6">
        <v>162.69999999999999</v>
      </c>
      <c r="D6">
        <v>2188.6</v>
      </c>
      <c r="E6">
        <v>3344.3</v>
      </c>
      <c r="F6" s="4">
        <v>155.79999999999995</v>
      </c>
      <c r="G6">
        <v>3.6</v>
      </c>
      <c r="H6">
        <v>12</v>
      </c>
      <c r="I6" t="s">
        <v>18</v>
      </c>
      <c r="J6" t="s">
        <v>17</v>
      </c>
      <c r="K6">
        <v>7</v>
      </c>
      <c r="L6">
        <v>166.3</v>
      </c>
    </row>
    <row r="7" spans="1:12" x14ac:dyDescent="0.45">
      <c r="A7">
        <v>57</v>
      </c>
      <c r="B7" t="s">
        <v>14</v>
      </c>
      <c r="C7">
        <v>147.30000000000001</v>
      </c>
      <c r="D7">
        <v>2039</v>
      </c>
      <c r="E7">
        <v>2803.1</v>
      </c>
      <c r="F7" s="4">
        <v>-235.89999999999998</v>
      </c>
      <c r="G7">
        <v>1.2</v>
      </c>
      <c r="H7">
        <v>6</v>
      </c>
      <c r="I7" t="s">
        <v>12</v>
      </c>
      <c r="J7" t="s">
        <v>13</v>
      </c>
      <c r="K7">
        <v>2</v>
      </c>
      <c r="L7">
        <v>148.5</v>
      </c>
    </row>
    <row r="8" spans="1:12" x14ac:dyDescent="0.45">
      <c r="A8">
        <v>57</v>
      </c>
      <c r="B8" t="s">
        <v>11</v>
      </c>
      <c r="C8">
        <v>170.4</v>
      </c>
      <c r="D8">
        <v>2517.6999999999998</v>
      </c>
      <c r="E8">
        <v>3378.1</v>
      </c>
      <c r="F8" s="4">
        <v>-139.60000000000002</v>
      </c>
      <c r="G8">
        <v>-12.484775710647501</v>
      </c>
      <c r="H8">
        <v>6</v>
      </c>
      <c r="I8" t="s">
        <v>18</v>
      </c>
      <c r="J8" t="s">
        <v>19</v>
      </c>
      <c r="K8">
        <v>8</v>
      </c>
      <c r="L8">
        <v>157.9</v>
      </c>
    </row>
    <row r="9" spans="1:12" x14ac:dyDescent="0.45">
      <c r="A9">
        <v>57</v>
      </c>
      <c r="B9" t="s">
        <v>14</v>
      </c>
      <c r="C9">
        <v>100</v>
      </c>
      <c r="D9">
        <v>1566.5</v>
      </c>
      <c r="E9">
        <v>2030.9</v>
      </c>
      <c r="F9" s="4">
        <v>-535.6</v>
      </c>
      <c r="G9">
        <v>-1.6583471296689001</v>
      </c>
      <c r="H9">
        <v>1</v>
      </c>
      <c r="I9" t="s">
        <v>18</v>
      </c>
      <c r="J9" t="s">
        <v>16</v>
      </c>
      <c r="K9">
        <v>9</v>
      </c>
      <c r="L9">
        <v>98.3</v>
      </c>
    </row>
    <row r="10" spans="1:12" x14ac:dyDescent="0.45">
      <c r="A10">
        <v>56</v>
      </c>
      <c r="B10" t="s">
        <v>11</v>
      </c>
      <c r="C10">
        <v>228.4</v>
      </c>
      <c r="D10">
        <v>3102.3</v>
      </c>
      <c r="E10">
        <v>3916</v>
      </c>
      <c r="F10" s="4">
        <v>-186.29999999999995</v>
      </c>
      <c r="G10">
        <v>0.2</v>
      </c>
      <c r="H10">
        <v>1</v>
      </c>
      <c r="I10" t="s">
        <v>12</v>
      </c>
      <c r="J10" t="s">
        <v>13</v>
      </c>
      <c r="K10">
        <v>6</v>
      </c>
      <c r="L10">
        <v>228.6</v>
      </c>
    </row>
    <row r="11" spans="1:12" x14ac:dyDescent="0.45">
      <c r="A11">
        <v>56</v>
      </c>
      <c r="B11" t="s">
        <v>14</v>
      </c>
      <c r="C11">
        <v>152.9</v>
      </c>
      <c r="D11">
        <v>2100.6</v>
      </c>
      <c r="E11">
        <v>2262.4</v>
      </c>
      <c r="F11" s="4">
        <v>-838.1</v>
      </c>
      <c r="G11">
        <v>-12.5134981229796</v>
      </c>
      <c r="H11">
        <v>9</v>
      </c>
      <c r="I11" t="s">
        <v>12</v>
      </c>
      <c r="J11" t="s">
        <v>19</v>
      </c>
      <c r="K11">
        <v>6</v>
      </c>
      <c r="L11">
        <v>140.4</v>
      </c>
    </row>
    <row r="12" spans="1:12" x14ac:dyDescent="0.45">
      <c r="A12">
        <v>56</v>
      </c>
      <c r="B12" t="s">
        <v>14</v>
      </c>
      <c r="C12">
        <v>157.5</v>
      </c>
      <c r="D12">
        <v>2146.6</v>
      </c>
      <c r="E12">
        <v>3521.7</v>
      </c>
      <c r="F12" s="4">
        <v>375.09999999999991</v>
      </c>
      <c r="G12">
        <v>4.8</v>
      </c>
      <c r="H12">
        <v>12</v>
      </c>
      <c r="I12" t="s">
        <v>20</v>
      </c>
      <c r="J12" t="s">
        <v>17</v>
      </c>
      <c r="K12">
        <v>4</v>
      </c>
      <c r="L12">
        <v>162.30000000000001</v>
      </c>
    </row>
    <row r="13" spans="1:12" x14ac:dyDescent="0.45">
      <c r="A13">
        <v>56</v>
      </c>
      <c r="B13" t="s">
        <v>14</v>
      </c>
      <c r="C13">
        <v>116.5</v>
      </c>
      <c r="D13">
        <v>1736.5</v>
      </c>
      <c r="E13">
        <v>2756.5</v>
      </c>
      <c r="F13" s="4">
        <v>20</v>
      </c>
      <c r="G13">
        <v>-8.9230901840993901</v>
      </c>
      <c r="H13">
        <v>12</v>
      </c>
      <c r="I13" t="s">
        <v>20</v>
      </c>
      <c r="J13" t="s">
        <v>16</v>
      </c>
      <c r="K13">
        <v>9</v>
      </c>
      <c r="L13">
        <v>107.6</v>
      </c>
    </row>
    <row r="14" spans="1:12" x14ac:dyDescent="0.45">
      <c r="A14">
        <v>55</v>
      </c>
      <c r="B14" t="s">
        <v>11</v>
      </c>
      <c r="C14">
        <v>202</v>
      </c>
      <c r="D14">
        <v>2843.5</v>
      </c>
      <c r="E14">
        <v>4000</v>
      </c>
      <c r="F14" s="4">
        <v>156.5</v>
      </c>
      <c r="G14">
        <v>2.1</v>
      </c>
      <c r="H14">
        <v>7</v>
      </c>
      <c r="I14" t="s">
        <v>15</v>
      </c>
      <c r="J14" t="s">
        <v>17</v>
      </c>
      <c r="K14">
        <v>2</v>
      </c>
      <c r="L14">
        <v>204.1</v>
      </c>
    </row>
    <row r="15" spans="1:12" x14ac:dyDescent="0.45">
      <c r="A15">
        <v>54</v>
      </c>
      <c r="B15" t="s">
        <v>11</v>
      </c>
      <c r="C15">
        <v>156.69999999999999</v>
      </c>
      <c r="D15">
        <v>2395.9</v>
      </c>
      <c r="E15">
        <v>3648.8</v>
      </c>
      <c r="F15" s="4">
        <v>252.90000000000009</v>
      </c>
      <c r="G15">
        <v>-2.6603012530661401</v>
      </c>
      <c r="H15">
        <v>3</v>
      </c>
      <c r="I15" t="s">
        <v>20</v>
      </c>
      <c r="J15" t="s">
        <v>19</v>
      </c>
      <c r="K15">
        <v>4</v>
      </c>
      <c r="L15">
        <v>154</v>
      </c>
    </row>
    <row r="16" spans="1:12" x14ac:dyDescent="0.45">
      <c r="A16">
        <v>53</v>
      </c>
      <c r="B16" t="s">
        <v>11</v>
      </c>
      <c r="C16">
        <v>138.4</v>
      </c>
      <c r="D16">
        <v>2217.4</v>
      </c>
      <c r="E16">
        <v>3604.9</v>
      </c>
      <c r="F16" s="4">
        <v>387.59999999999991</v>
      </c>
      <c r="G16">
        <v>2</v>
      </c>
      <c r="H16">
        <v>5</v>
      </c>
      <c r="I16" t="s">
        <v>20</v>
      </c>
      <c r="J16" t="s">
        <v>13</v>
      </c>
      <c r="K16">
        <v>5</v>
      </c>
      <c r="L16">
        <v>140.4</v>
      </c>
    </row>
    <row r="17" spans="1:12" x14ac:dyDescent="0.45">
      <c r="A17">
        <v>53</v>
      </c>
      <c r="B17" t="s">
        <v>11</v>
      </c>
      <c r="C17">
        <v>154.30000000000001</v>
      </c>
      <c r="D17">
        <v>2377</v>
      </c>
      <c r="E17">
        <v>3544.5</v>
      </c>
      <c r="F17" s="4">
        <v>167.5</v>
      </c>
      <c r="G17">
        <v>-0.96141556802668204</v>
      </c>
      <c r="H17">
        <v>1</v>
      </c>
      <c r="I17" t="s">
        <v>20</v>
      </c>
      <c r="J17" t="s">
        <v>19</v>
      </c>
      <c r="K17">
        <v>4</v>
      </c>
      <c r="L17">
        <v>153.30000000000001</v>
      </c>
    </row>
    <row r="18" spans="1:12" x14ac:dyDescent="0.45">
      <c r="A18">
        <v>53</v>
      </c>
      <c r="B18" t="s">
        <v>14</v>
      </c>
      <c r="C18">
        <v>163.19999999999999</v>
      </c>
      <c r="D18">
        <v>2218.5</v>
      </c>
      <c r="E18">
        <v>2927.5</v>
      </c>
      <c r="F18" s="4">
        <v>-291</v>
      </c>
      <c r="G18">
        <v>-1.5802498228366</v>
      </c>
      <c r="H18">
        <v>4</v>
      </c>
      <c r="I18" t="s">
        <v>12</v>
      </c>
      <c r="J18" t="s">
        <v>19</v>
      </c>
      <c r="K18">
        <v>5</v>
      </c>
      <c r="L18">
        <v>161.6</v>
      </c>
    </row>
    <row r="19" spans="1:12" x14ac:dyDescent="0.45">
      <c r="A19">
        <v>52</v>
      </c>
      <c r="B19" t="s">
        <v>11</v>
      </c>
      <c r="C19">
        <v>226.2</v>
      </c>
      <c r="D19">
        <v>3100.4</v>
      </c>
      <c r="E19">
        <v>4000</v>
      </c>
      <c r="F19" s="4">
        <v>-100.39999999999998</v>
      </c>
      <c r="G19">
        <v>-1.6209250094177201</v>
      </c>
      <c r="H19">
        <v>1</v>
      </c>
      <c r="I19" t="s">
        <v>20</v>
      </c>
      <c r="J19" t="s">
        <v>16</v>
      </c>
      <c r="K19">
        <v>8</v>
      </c>
      <c r="L19">
        <v>224.6</v>
      </c>
    </row>
    <row r="20" spans="1:12" x14ac:dyDescent="0.45">
      <c r="A20">
        <v>52</v>
      </c>
      <c r="B20" t="s">
        <v>14</v>
      </c>
      <c r="C20">
        <v>181.8</v>
      </c>
      <c r="D20">
        <v>2409.8000000000002</v>
      </c>
      <c r="E20">
        <v>2640.7</v>
      </c>
      <c r="F20" s="4">
        <v>-769.1</v>
      </c>
      <c r="G20">
        <v>1</v>
      </c>
      <c r="H20">
        <v>10</v>
      </c>
      <c r="I20" t="s">
        <v>18</v>
      </c>
      <c r="J20" t="s">
        <v>13</v>
      </c>
      <c r="K20">
        <v>7</v>
      </c>
      <c r="L20">
        <v>182.8</v>
      </c>
    </row>
    <row r="21" spans="1:12" x14ac:dyDescent="0.45">
      <c r="A21">
        <v>52</v>
      </c>
      <c r="B21" t="s">
        <v>11</v>
      </c>
      <c r="C21">
        <v>169.9</v>
      </c>
      <c r="D21">
        <v>2537.3000000000002</v>
      </c>
      <c r="E21">
        <v>3269.5</v>
      </c>
      <c r="F21" s="4">
        <v>-267.79999999999995</v>
      </c>
      <c r="G21">
        <v>1.6</v>
      </c>
      <c r="H21">
        <v>8</v>
      </c>
      <c r="I21" t="s">
        <v>12</v>
      </c>
      <c r="J21" t="s">
        <v>17</v>
      </c>
      <c r="K21">
        <v>2</v>
      </c>
      <c r="L21">
        <v>171.5</v>
      </c>
    </row>
    <row r="22" spans="1:12" x14ac:dyDescent="0.45">
      <c r="A22">
        <v>51</v>
      </c>
      <c r="B22" t="s">
        <v>14</v>
      </c>
      <c r="C22">
        <v>173.2</v>
      </c>
      <c r="D22">
        <v>2328.1999999999998</v>
      </c>
      <c r="E22">
        <v>2450.6</v>
      </c>
      <c r="F22" s="4">
        <v>-877.6</v>
      </c>
      <c r="G22">
        <v>0</v>
      </c>
      <c r="H22">
        <v>12</v>
      </c>
      <c r="I22" t="s">
        <v>12</v>
      </c>
      <c r="J22" t="s">
        <v>17</v>
      </c>
      <c r="K22">
        <v>2</v>
      </c>
      <c r="L22">
        <v>173.2</v>
      </c>
    </row>
    <row r="23" spans="1:12" x14ac:dyDescent="0.45">
      <c r="A23">
        <v>50</v>
      </c>
      <c r="B23" t="s">
        <v>11</v>
      </c>
      <c r="C23">
        <v>234.8</v>
      </c>
      <c r="D23">
        <v>3196.4</v>
      </c>
      <c r="E23">
        <v>4000</v>
      </c>
      <c r="F23" s="4">
        <v>-196.39999999999998</v>
      </c>
      <c r="G23">
        <v>-2.62336075041596</v>
      </c>
      <c r="H23">
        <v>4</v>
      </c>
      <c r="I23" t="s">
        <v>18</v>
      </c>
      <c r="J23" t="s">
        <v>19</v>
      </c>
      <c r="K23">
        <v>2</v>
      </c>
      <c r="L23">
        <v>232.2</v>
      </c>
    </row>
    <row r="24" spans="1:12" x14ac:dyDescent="0.45">
      <c r="A24">
        <v>50</v>
      </c>
      <c r="B24" t="s">
        <v>11</v>
      </c>
      <c r="C24">
        <v>122.9</v>
      </c>
      <c r="D24">
        <v>2077.5</v>
      </c>
      <c r="E24">
        <v>4000</v>
      </c>
      <c r="F24" s="4">
        <v>922.5</v>
      </c>
      <c r="G24">
        <v>5</v>
      </c>
      <c r="H24">
        <v>10</v>
      </c>
      <c r="I24" t="s">
        <v>15</v>
      </c>
      <c r="J24" t="s">
        <v>13</v>
      </c>
      <c r="K24">
        <v>6</v>
      </c>
      <c r="L24">
        <v>127.9</v>
      </c>
    </row>
    <row r="25" spans="1:12" x14ac:dyDescent="0.45">
      <c r="A25">
        <v>48</v>
      </c>
      <c r="B25" t="s">
        <v>11</v>
      </c>
      <c r="C25">
        <v>203.1</v>
      </c>
      <c r="D25">
        <v>2889.6</v>
      </c>
      <c r="E25">
        <v>3451.7</v>
      </c>
      <c r="F25" s="4">
        <v>-437.79999999999995</v>
      </c>
      <c r="G25">
        <v>0.6</v>
      </c>
      <c r="H25">
        <v>3</v>
      </c>
      <c r="I25" t="s">
        <v>12</v>
      </c>
      <c r="J25" t="s">
        <v>16</v>
      </c>
      <c r="K25">
        <v>1</v>
      </c>
      <c r="L25">
        <v>203.7</v>
      </c>
    </row>
    <row r="26" spans="1:12" x14ac:dyDescent="0.45">
      <c r="A26">
        <v>47</v>
      </c>
      <c r="B26" t="s">
        <v>11</v>
      </c>
      <c r="C26">
        <v>213</v>
      </c>
      <c r="D26">
        <v>2993.8</v>
      </c>
      <c r="E26">
        <v>4000</v>
      </c>
      <c r="F26" s="4">
        <v>6.2000000000000455</v>
      </c>
      <c r="G26">
        <v>0.3</v>
      </c>
      <c r="H26">
        <v>1</v>
      </c>
      <c r="I26" t="s">
        <v>20</v>
      </c>
      <c r="J26" t="s">
        <v>17</v>
      </c>
      <c r="K26">
        <v>2</v>
      </c>
      <c r="L26">
        <v>213.3</v>
      </c>
    </row>
    <row r="27" spans="1:12" x14ac:dyDescent="0.45">
      <c r="A27">
        <v>46</v>
      </c>
      <c r="B27" t="s">
        <v>14</v>
      </c>
      <c r="C27">
        <v>165.4</v>
      </c>
      <c r="D27">
        <v>2275.5</v>
      </c>
      <c r="E27">
        <v>3823</v>
      </c>
      <c r="F27" s="4">
        <v>547.5</v>
      </c>
      <c r="G27">
        <v>2.4</v>
      </c>
      <c r="H27">
        <v>6</v>
      </c>
      <c r="I27" t="s">
        <v>15</v>
      </c>
      <c r="J27" t="s">
        <v>13</v>
      </c>
      <c r="K27">
        <v>6</v>
      </c>
      <c r="L27">
        <v>167.8</v>
      </c>
    </row>
    <row r="28" spans="1:12" x14ac:dyDescent="0.45">
      <c r="A28">
        <v>46</v>
      </c>
      <c r="B28" t="s">
        <v>11</v>
      </c>
      <c r="C28">
        <v>198.9</v>
      </c>
      <c r="D28">
        <v>2858.2</v>
      </c>
      <c r="E28">
        <v>4000</v>
      </c>
      <c r="F28" s="4">
        <v>141.79999999999995</v>
      </c>
      <c r="G28">
        <v>-5.5302609166933498</v>
      </c>
      <c r="H28">
        <v>6</v>
      </c>
      <c r="I28" t="s">
        <v>15</v>
      </c>
      <c r="J28" t="s">
        <v>19</v>
      </c>
      <c r="K28">
        <v>3</v>
      </c>
      <c r="L28">
        <v>193.4</v>
      </c>
    </row>
    <row r="29" spans="1:12" x14ac:dyDescent="0.45">
      <c r="A29">
        <v>46</v>
      </c>
      <c r="B29" t="s">
        <v>14</v>
      </c>
      <c r="C29">
        <v>182.5</v>
      </c>
      <c r="D29">
        <v>2446.9</v>
      </c>
      <c r="E29">
        <v>4000</v>
      </c>
      <c r="F29" s="4">
        <v>553.09999999999991</v>
      </c>
      <c r="G29">
        <v>-24.190067828017401</v>
      </c>
      <c r="H29">
        <v>11</v>
      </c>
      <c r="I29" t="s">
        <v>15</v>
      </c>
      <c r="J29" t="s">
        <v>19</v>
      </c>
      <c r="K29">
        <v>8</v>
      </c>
      <c r="L29">
        <v>158.30000000000001</v>
      </c>
    </row>
    <row r="30" spans="1:12" x14ac:dyDescent="0.45">
      <c r="A30">
        <v>45</v>
      </c>
      <c r="B30" t="s">
        <v>14</v>
      </c>
      <c r="C30">
        <v>180.7</v>
      </c>
      <c r="D30">
        <v>2433.3000000000002</v>
      </c>
      <c r="E30">
        <v>3236</v>
      </c>
      <c r="F30" s="4">
        <v>-197.29999999999995</v>
      </c>
      <c r="G30">
        <v>1.4</v>
      </c>
      <c r="H30">
        <v>7</v>
      </c>
      <c r="I30" t="s">
        <v>18</v>
      </c>
      <c r="J30" t="s">
        <v>17</v>
      </c>
      <c r="K30">
        <v>7</v>
      </c>
      <c r="L30">
        <v>182.1</v>
      </c>
    </row>
    <row r="31" spans="1:12" x14ac:dyDescent="0.45">
      <c r="A31">
        <v>45</v>
      </c>
      <c r="B31" t="s">
        <v>14</v>
      </c>
      <c r="C31">
        <v>197.8</v>
      </c>
      <c r="D31">
        <v>2604.4</v>
      </c>
      <c r="E31">
        <v>4000</v>
      </c>
      <c r="F31" s="4">
        <v>395.59999999999991</v>
      </c>
      <c r="G31">
        <v>4.8</v>
      </c>
      <c r="H31">
        <v>12</v>
      </c>
      <c r="I31" t="s">
        <v>20</v>
      </c>
      <c r="J31" t="s">
        <v>16</v>
      </c>
      <c r="K31">
        <v>7</v>
      </c>
      <c r="L31">
        <v>202.6</v>
      </c>
    </row>
    <row r="32" spans="1:12" x14ac:dyDescent="0.45">
      <c r="A32">
        <v>45</v>
      </c>
      <c r="B32" t="s">
        <v>11</v>
      </c>
      <c r="C32">
        <v>179.8</v>
      </c>
      <c r="D32">
        <v>2671.9</v>
      </c>
      <c r="E32">
        <v>4000</v>
      </c>
      <c r="F32" s="4">
        <v>328.09999999999991</v>
      </c>
      <c r="G32">
        <v>2</v>
      </c>
      <c r="H32">
        <v>5</v>
      </c>
      <c r="I32" t="s">
        <v>20</v>
      </c>
      <c r="J32" t="s">
        <v>17</v>
      </c>
      <c r="K32">
        <v>5</v>
      </c>
      <c r="L32">
        <v>181.8</v>
      </c>
    </row>
    <row r="33" spans="1:12" x14ac:dyDescent="0.45">
      <c r="A33">
        <v>44</v>
      </c>
      <c r="B33" t="s">
        <v>11</v>
      </c>
      <c r="C33">
        <v>191.8</v>
      </c>
      <c r="D33">
        <v>2797.1</v>
      </c>
      <c r="E33">
        <v>4000</v>
      </c>
      <c r="F33" s="4">
        <v>202.90000000000009</v>
      </c>
      <c r="G33">
        <v>3.6</v>
      </c>
      <c r="H33">
        <v>12</v>
      </c>
      <c r="I33" t="s">
        <v>20</v>
      </c>
      <c r="J33" t="s">
        <v>17</v>
      </c>
      <c r="K33">
        <v>1</v>
      </c>
      <c r="L33">
        <v>195.4</v>
      </c>
    </row>
    <row r="34" spans="1:12" x14ac:dyDescent="0.45">
      <c r="A34">
        <v>43</v>
      </c>
      <c r="B34" t="s">
        <v>11</v>
      </c>
      <c r="C34">
        <v>182.8</v>
      </c>
      <c r="D34">
        <v>2712.2</v>
      </c>
      <c r="E34">
        <v>4000</v>
      </c>
      <c r="F34" s="4">
        <v>287.79999999999995</v>
      </c>
      <c r="G34">
        <v>2.8</v>
      </c>
      <c r="H34">
        <v>7</v>
      </c>
      <c r="I34" t="s">
        <v>15</v>
      </c>
      <c r="J34" t="s">
        <v>16</v>
      </c>
      <c r="K34">
        <v>2</v>
      </c>
      <c r="L34">
        <v>185.6</v>
      </c>
    </row>
    <row r="35" spans="1:12" x14ac:dyDescent="0.45">
      <c r="A35">
        <v>43</v>
      </c>
      <c r="B35" t="s">
        <v>11</v>
      </c>
      <c r="C35">
        <v>173.3</v>
      </c>
      <c r="D35">
        <v>2616.4</v>
      </c>
      <c r="E35">
        <v>4000</v>
      </c>
      <c r="F35" s="4">
        <v>383.59999999999991</v>
      </c>
      <c r="G35">
        <v>4.4000000000000004</v>
      </c>
      <c r="H35">
        <v>11</v>
      </c>
      <c r="I35" t="s">
        <v>20</v>
      </c>
      <c r="J35" t="s">
        <v>16</v>
      </c>
      <c r="K35">
        <v>5</v>
      </c>
      <c r="L35">
        <v>177.7</v>
      </c>
    </row>
    <row r="36" spans="1:12" x14ac:dyDescent="0.45">
      <c r="A36">
        <v>43</v>
      </c>
      <c r="B36" t="s">
        <v>14</v>
      </c>
      <c r="C36">
        <v>136.6</v>
      </c>
      <c r="D36">
        <v>2002.8</v>
      </c>
      <c r="E36">
        <v>3669</v>
      </c>
      <c r="F36" s="4">
        <v>666.2</v>
      </c>
      <c r="G36">
        <v>1.5</v>
      </c>
      <c r="H36">
        <v>3</v>
      </c>
      <c r="I36" t="s">
        <v>15</v>
      </c>
      <c r="J36" t="s">
        <v>17</v>
      </c>
      <c r="K36">
        <v>1</v>
      </c>
      <c r="L36">
        <v>138.1</v>
      </c>
    </row>
    <row r="37" spans="1:12" x14ac:dyDescent="0.45">
      <c r="A37">
        <v>42</v>
      </c>
      <c r="B37" t="s">
        <v>14</v>
      </c>
      <c r="C37">
        <v>149.30000000000001</v>
      </c>
      <c r="D37">
        <v>2134.6999999999998</v>
      </c>
      <c r="E37">
        <v>2882.6</v>
      </c>
      <c r="F37" s="4">
        <v>-252.20000000000005</v>
      </c>
      <c r="G37">
        <v>0.6</v>
      </c>
      <c r="H37">
        <v>3</v>
      </c>
      <c r="I37" t="s">
        <v>18</v>
      </c>
      <c r="J37" t="s">
        <v>17</v>
      </c>
      <c r="K37">
        <v>6</v>
      </c>
      <c r="L37">
        <v>149.9</v>
      </c>
    </row>
    <row r="38" spans="1:12" x14ac:dyDescent="0.45">
      <c r="A38">
        <v>42</v>
      </c>
      <c r="B38" t="s">
        <v>11</v>
      </c>
      <c r="C38">
        <v>141.5</v>
      </c>
      <c r="D38">
        <v>2303.3000000000002</v>
      </c>
      <c r="E38">
        <v>3352.3</v>
      </c>
      <c r="F38" s="4">
        <v>49</v>
      </c>
      <c r="G38">
        <v>3.6</v>
      </c>
      <c r="H38">
        <v>12</v>
      </c>
      <c r="I38" t="s">
        <v>18</v>
      </c>
      <c r="J38" t="s">
        <v>13</v>
      </c>
      <c r="K38">
        <v>2</v>
      </c>
      <c r="L38">
        <v>145.1</v>
      </c>
    </row>
    <row r="39" spans="1:12" x14ac:dyDescent="0.45">
      <c r="A39">
        <v>42</v>
      </c>
      <c r="B39" t="s">
        <v>14</v>
      </c>
      <c r="C39">
        <v>196</v>
      </c>
      <c r="D39">
        <v>2601.6999999999998</v>
      </c>
      <c r="E39">
        <v>3730.2</v>
      </c>
      <c r="F39" s="4">
        <v>128.5</v>
      </c>
      <c r="G39">
        <v>2.1</v>
      </c>
      <c r="H39">
        <v>7</v>
      </c>
      <c r="I39" t="s">
        <v>18</v>
      </c>
      <c r="J39" t="s">
        <v>16</v>
      </c>
      <c r="K39">
        <v>4</v>
      </c>
      <c r="L39">
        <v>198.1</v>
      </c>
    </row>
    <row r="40" spans="1:12" x14ac:dyDescent="0.45">
      <c r="A40">
        <v>42</v>
      </c>
      <c r="B40" t="s">
        <v>14</v>
      </c>
      <c r="C40">
        <v>174.4</v>
      </c>
      <c r="D40">
        <v>2385.6</v>
      </c>
      <c r="E40">
        <v>2829.4</v>
      </c>
      <c r="F40" s="4">
        <v>-556.20000000000005</v>
      </c>
      <c r="G40">
        <v>0.8</v>
      </c>
      <c r="H40">
        <v>8</v>
      </c>
      <c r="I40" t="s">
        <v>18</v>
      </c>
      <c r="J40" t="s">
        <v>17</v>
      </c>
      <c r="K40">
        <v>4</v>
      </c>
      <c r="L40">
        <v>175.2</v>
      </c>
    </row>
    <row r="41" spans="1:12" x14ac:dyDescent="0.45">
      <c r="A41">
        <v>41</v>
      </c>
      <c r="B41" t="s">
        <v>11</v>
      </c>
      <c r="C41">
        <v>194.5</v>
      </c>
      <c r="D41">
        <v>2839.1</v>
      </c>
      <c r="E41">
        <v>4000</v>
      </c>
      <c r="F41" s="4">
        <v>160.90000000000009</v>
      </c>
      <c r="G41">
        <v>-5.0282990636390998</v>
      </c>
      <c r="H41">
        <v>5</v>
      </c>
      <c r="I41" t="s">
        <v>15</v>
      </c>
      <c r="J41" t="s">
        <v>19</v>
      </c>
      <c r="K41">
        <v>5</v>
      </c>
      <c r="L41">
        <v>189.5</v>
      </c>
    </row>
    <row r="42" spans="1:12" x14ac:dyDescent="0.45">
      <c r="A42">
        <v>41</v>
      </c>
      <c r="B42" t="s">
        <v>14</v>
      </c>
      <c r="C42">
        <v>183.7</v>
      </c>
      <c r="D42">
        <v>2483.6999999999998</v>
      </c>
      <c r="E42">
        <v>2845</v>
      </c>
      <c r="F42" s="4">
        <v>-638.70000000000005</v>
      </c>
      <c r="G42">
        <v>-3.1424679580335502</v>
      </c>
      <c r="H42">
        <v>3</v>
      </c>
      <c r="I42" t="s">
        <v>12</v>
      </c>
      <c r="J42" t="s">
        <v>19</v>
      </c>
      <c r="K42">
        <v>3</v>
      </c>
      <c r="L42">
        <v>180.6</v>
      </c>
    </row>
    <row r="43" spans="1:12" x14ac:dyDescent="0.45">
      <c r="A43">
        <v>41</v>
      </c>
      <c r="B43" t="s">
        <v>11</v>
      </c>
      <c r="C43">
        <v>162.80000000000001</v>
      </c>
      <c r="D43">
        <v>2521.3000000000002</v>
      </c>
      <c r="E43">
        <v>4000</v>
      </c>
      <c r="F43" s="4">
        <v>478.70000000000005</v>
      </c>
      <c r="G43">
        <v>-4.2755034479895997</v>
      </c>
      <c r="H43">
        <v>4</v>
      </c>
      <c r="I43" t="s">
        <v>15</v>
      </c>
      <c r="J43" t="s">
        <v>19</v>
      </c>
      <c r="K43">
        <v>6</v>
      </c>
      <c r="L43">
        <v>158.5</v>
      </c>
    </row>
    <row r="44" spans="1:12" x14ac:dyDescent="0.45">
      <c r="A44">
        <v>41</v>
      </c>
      <c r="B44" t="s">
        <v>14</v>
      </c>
      <c r="C44">
        <v>156.1</v>
      </c>
      <c r="D44">
        <v>2207.6999999999998</v>
      </c>
      <c r="E44">
        <v>3458.1</v>
      </c>
      <c r="F44" s="4">
        <v>250.40000000000009</v>
      </c>
      <c r="G44">
        <v>-5.2695425141346401</v>
      </c>
      <c r="H44">
        <v>6</v>
      </c>
      <c r="I44" t="s">
        <v>20</v>
      </c>
      <c r="J44" t="s">
        <v>17</v>
      </c>
      <c r="K44">
        <v>8</v>
      </c>
      <c r="L44">
        <v>150.80000000000001</v>
      </c>
    </row>
    <row r="45" spans="1:12" x14ac:dyDescent="0.45">
      <c r="A45">
        <v>41</v>
      </c>
      <c r="B45" t="s">
        <v>14</v>
      </c>
      <c r="C45">
        <v>169.7</v>
      </c>
      <c r="D45">
        <v>2343.1</v>
      </c>
      <c r="E45">
        <v>3103.8</v>
      </c>
      <c r="F45" s="4">
        <v>-239.29999999999995</v>
      </c>
      <c r="G45">
        <v>-12.5019453210992</v>
      </c>
      <c r="H45">
        <v>8</v>
      </c>
      <c r="I45" t="s">
        <v>18</v>
      </c>
      <c r="J45" t="s">
        <v>19</v>
      </c>
      <c r="K45">
        <v>7</v>
      </c>
      <c r="L45">
        <v>157.19999999999999</v>
      </c>
    </row>
    <row r="46" spans="1:12" x14ac:dyDescent="0.45">
      <c r="A46">
        <v>41</v>
      </c>
      <c r="B46" t="s">
        <v>11</v>
      </c>
      <c r="C46">
        <v>196.2</v>
      </c>
      <c r="D46">
        <v>2855.4</v>
      </c>
      <c r="E46">
        <v>3623.3</v>
      </c>
      <c r="F46" s="4">
        <v>-232.10000000000002</v>
      </c>
      <c r="G46">
        <v>-11.2500149773169</v>
      </c>
      <c r="H46">
        <v>8</v>
      </c>
      <c r="I46" t="s">
        <v>12</v>
      </c>
      <c r="J46" t="s">
        <v>17</v>
      </c>
      <c r="K46">
        <v>8</v>
      </c>
      <c r="L46">
        <v>184.9</v>
      </c>
    </row>
    <row r="47" spans="1:12" x14ac:dyDescent="0.45">
      <c r="A47">
        <v>40</v>
      </c>
      <c r="B47" t="s">
        <v>11</v>
      </c>
      <c r="C47">
        <v>207.9</v>
      </c>
      <c r="D47">
        <v>2977.9</v>
      </c>
      <c r="E47">
        <v>4000</v>
      </c>
      <c r="F47" s="4">
        <v>22.100000000000023</v>
      </c>
      <c r="G47">
        <v>-35.6781152679361</v>
      </c>
      <c r="H47">
        <v>11</v>
      </c>
      <c r="I47" t="s">
        <v>20</v>
      </c>
      <c r="J47" t="s">
        <v>19</v>
      </c>
      <c r="K47">
        <v>9</v>
      </c>
      <c r="L47">
        <v>172.2</v>
      </c>
    </row>
    <row r="48" spans="1:12" x14ac:dyDescent="0.45">
      <c r="A48">
        <v>40</v>
      </c>
      <c r="B48" t="s">
        <v>14</v>
      </c>
      <c r="C48">
        <v>137.19999999999999</v>
      </c>
      <c r="D48">
        <v>2023.3</v>
      </c>
      <c r="E48">
        <v>3827.8</v>
      </c>
      <c r="F48" s="4">
        <v>804.5</v>
      </c>
      <c r="G48">
        <v>-10.263076108510701</v>
      </c>
      <c r="H48">
        <v>9</v>
      </c>
      <c r="I48" t="s">
        <v>15</v>
      </c>
      <c r="J48" t="s">
        <v>19</v>
      </c>
      <c r="K48">
        <v>1</v>
      </c>
      <c r="L48">
        <v>126.9</v>
      </c>
    </row>
    <row r="49" spans="1:12" x14ac:dyDescent="0.45">
      <c r="A49">
        <v>39</v>
      </c>
      <c r="B49" t="s">
        <v>11</v>
      </c>
      <c r="C49">
        <v>180.3</v>
      </c>
      <c r="D49">
        <v>2707.2</v>
      </c>
      <c r="E49">
        <v>4000</v>
      </c>
      <c r="F49" s="4">
        <v>292.79999999999995</v>
      </c>
      <c r="G49">
        <v>0.4</v>
      </c>
      <c r="H49">
        <v>1</v>
      </c>
      <c r="I49" t="s">
        <v>20</v>
      </c>
      <c r="J49" t="s">
        <v>17</v>
      </c>
      <c r="K49">
        <v>6</v>
      </c>
      <c r="L49">
        <v>180.7</v>
      </c>
    </row>
    <row r="50" spans="1:12" x14ac:dyDescent="0.45">
      <c r="A50">
        <v>39</v>
      </c>
      <c r="B50" t="s">
        <v>11</v>
      </c>
      <c r="C50">
        <v>163.6</v>
      </c>
      <c r="D50">
        <v>2539.5</v>
      </c>
      <c r="E50">
        <v>3355.7</v>
      </c>
      <c r="F50" s="4">
        <v>-183.70000000000005</v>
      </c>
      <c r="G50">
        <v>-22.609478833001599</v>
      </c>
      <c r="H50">
        <v>12</v>
      </c>
      <c r="I50" t="s">
        <v>18</v>
      </c>
      <c r="J50" t="s">
        <v>19</v>
      </c>
      <c r="K50">
        <v>9</v>
      </c>
      <c r="L50">
        <v>141</v>
      </c>
    </row>
    <row r="51" spans="1:12" x14ac:dyDescent="0.45">
      <c r="A51">
        <v>38</v>
      </c>
      <c r="B51" t="s">
        <v>11</v>
      </c>
      <c r="C51">
        <v>155.5</v>
      </c>
      <c r="D51">
        <v>2463.8000000000002</v>
      </c>
      <c r="E51">
        <v>3312.8</v>
      </c>
      <c r="F51" s="4">
        <v>-151</v>
      </c>
      <c r="G51">
        <v>2</v>
      </c>
      <c r="H51">
        <v>10</v>
      </c>
      <c r="I51" t="s">
        <v>18</v>
      </c>
      <c r="J51" t="s">
        <v>16</v>
      </c>
      <c r="K51">
        <v>1</v>
      </c>
      <c r="L51">
        <v>157.5</v>
      </c>
    </row>
    <row r="52" spans="1:12" x14ac:dyDescent="0.45">
      <c r="A52">
        <v>38</v>
      </c>
      <c r="B52" t="s">
        <v>14</v>
      </c>
      <c r="C52">
        <v>214.4</v>
      </c>
      <c r="D52">
        <v>2805.6</v>
      </c>
      <c r="E52">
        <v>3274.1</v>
      </c>
      <c r="F52" s="4">
        <v>-531.5</v>
      </c>
      <c r="G52">
        <v>0.4</v>
      </c>
      <c r="H52">
        <v>4</v>
      </c>
      <c r="I52" t="s">
        <v>12</v>
      </c>
      <c r="J52" t="s">
        <v>13</v>
      </c>
      <c r="K52">
        <v>3</v>
      </c>
      <c r="L52">
        <v>214.8</v>
      </c>
    </row>
    <row r="53" spans="1:12" x14ac:dyDescent="0.45">
      <c r="A53">
        <v>38</v>
      </c>
      <c r="B53" t="s">
        <v>14</v>
      </c>
      <c r="C53">
        <v>228</v>
      </c>
      <c r="D53">
        <v>2941.7</v>
      </c>
      <c r="E53">
        <v>4000</v>
      </c>
      <c r="F53" s="4">
        <v>58.299999999999955</v>
      </c>
      <c r="G53">
        <v>0.9</v>
      </c>
      <c r="H53">
        <v>3</v>
      </c>
      <c r="I53" t="s">
        <v>20</v>
      </c>
      <c r="J53" t="s">
        <v>13</v>
      </c>
      <c r="K53">
        <v>1</v>
      </c>
      <c r="L53">
        <v>228.9</v>
      </c>
    </row>
    <row r="54" spans="1:12" x14ac:dyDescent="0.45">
      <c r="A54">
        <v>38</v>
      </c>
      <c r="B54" t="s">
        <v>14</v>
      </c>
      <c r="C54">
        <v>145.9</v>
      </c>
      <c r="D54">
        <v>2120.5</v>
      </c>
      <c r="E54">
        <v>3734.5</v>
      </c>
      <c r="F54" s="4">
        <v>614</v>
      </c>
      <c r="G54">
        <v>-1.39435830463013</v>
      </c>
      <c r="H54">
        <v>1</v>
      </c>
      <c r="I54" t="s">
        <v>15</v>
      </c>
      <c r="J54" t="s">
        <v>19</v>
      </c>
      <c r="K54">
        <v>9</v>
      </c>
      <c r="L54">
        <v>144.5</v>
      </c>
    </row>
    <row r="55" spans="1:12" x14ac:dyDescent="0.45">
      <c r="A55">
        <v>37</v>
      </c>
      <c r="B55" t="s">
        <v>11</v>
      </c>
      <c r="C55">
        <v>184.5</v>
      </c>
      <c r="D55">
        <v>2758.3</v>
      </c>
      <c r="E55">
        <v>3406.3</v>
      </c>
      <c r="F55" s="4">
        <v>-352.1</v>
      </c>
      <c r="G55">
        <v>-4.9880275260013196</v>
      </c>
      <c r="H55">
        <v>3</v>
      </c>
      <c r="I55" t="s">
        <v>12</v>
      </c>
      <c r="J55" t="s">
        <v>17</v>
      </c>
      <c r="K55">
        <v>9</v>
      </c>
      <c r="L55">
        <v>179.5</v>
      </c>
    </row>
    <row r="56" spans="1:12" x14ac:dyDescent="0.45">
      <c r="A56">
        <v>36</v>
      </c>
      <c r="B56" t="s">
        <v>11</v>
      </c>
      <c r="C56">
        <v>107.3</v>
      </c>
      <c r="D56">
        <v>1991.3</v>
      </c>
      <c r="E56">
        <v>2933.4</v>
      </c>
      <c r="F56" s="4">
        <v>-57.899999999999977</v>
      </c>
      <c r="G56">
        <v>-2.43730695743346</v>
      </c>
      <c r="H56">
        <v>2</v>
      </c>
      <c r="I56" t="s">
        <v>20</v>
      </c>
      <c r="J56" t="s">
        <v>19</v>
      </c>
      <c r="K56">
        <v>5</v>
      </c>
      <c r="L56">
        <v>104.9</v>
      </c>
    </row>
    <row r="57" spans="1:12" x14ac:dyDescent="0.45">
      <c r="A57">
        <v>35</v>
      </c>
      <c r="B57" t="s">
        <v>11</v>
      </c>
      <c r="C57">
        <v>195.7</v>
      </c>
      <c r="D57">
        <v>2881</v>
      </c>
      <c r="E57">
        <v>4000</v>
      </c>
      <c r="F57" s="4">
        <v>119</v>
      </c>
      <c r="G57">
        <v>-32.342604547321599</v>
      </c>
      <c r="H57">
        <v>10</v>
      </c>
      <c r="I57" t="s">
        <v>20</v>
      </c>
      <c r="J57" t="s">
        <v>19</v>
      </c>
      <c r="K57">
        <v>8</v>
      </c>
      <c r="L57">
        <v>163.4</v>
      </c>
    </row>
    <row r="58" spans="1:12" x14ac:dyDescent="0.45">
      <c r="A58">
        <v>35</v>
      </c>
      <c r="B58" t="s">
        <v>11</v>
      </c>
      <c r="C58">
        <v>138.1</v>
      </c>
      <c r="D58">
        <v>2304.3000000000002</v>
      </c>
      <c r="E58">
        <v>3424.8</v>
      </c>
      <c r="F58" s="4">
        <v>120.5</v>
      </c>
      <c r="G58">
        <v>1.5</v>
      </c>
      <c r="H58">
        <v>5</v>
      </c>
      <c r="I58" t="s">
        <v>18</v>
      </c>
      <c r="J58" t="s">
        <v>13</v>
      </c>
      <c r="K58">
        <v>5</v>
      </c>
      <c r="L58">
        <v>139.6</v>
      </c>
    </row>
    <row r="59" spans="1:12" x14ac:dyDescent="0.45">
      <c r="A59">
        <v>35</v>
      </c>
      <c r="B59" t="s">
        <v>14</v>
      </c>
      <c r="C59">
        <v>158.5</v>
      </c>
      <c r="D59">
        <v>2261.5</v>
      </c>
      <c r="E59">
        <v>3199.8</v>
      </c>
      <c r="F59" s="4">
        <v>-61.700000000000045</v>
      </c>
      <c r="G59">
        <v>-4.3398143988869498</v>
      </c>
      <c r="H59">
        <v>6</v>
      </c>
      <c r="I59" t="s">
        <v>20</v>
      </c>
      <c r="J59" t="s">
        <v>19</v>
      </c>
      <c r="K59">
        <v>6</v>
      </c>
      <c r="L59">
        <v>154.19999999999999</v>
      </c>
    </row>
    <row r="60" spans="1:12" x14ac:dyDescent="0.45">
      <c r="A60">
        <v>34</v>
      </c>
      <c r="B60" t="s">
        <v>11</v>
      </c>
      <c r="C60">
        <v>151.19999999999999</v>
      </c>
      <c r="D60">
        <v>2441.1</v>
      </c>
      <c r="E60">
        <v>3179.8</v>
      </c>
      <c r="F60" s="4">
        <v>-261.20000000000005</v>
      </c>
      <c r="G60">
        <v>-18.539995247598501</v>
      </c>
      <c r="H60">
        <v>8</v>
      </c>
      <c r="I60" t="s">
        <v>18</v>
      </c>
      <c r="J60" t="s">
        <v>19</v>
      </c>
      <c r="K60">
        <v>8</v>
      </c>
      <c r="L60">
        <v>132.69999999999999</v>
      </c>
    </row>
    <row r="61" spans="1:12" x14ac:dyDescent="0.45">
      <c r="A61">
        <v>34</v>
      </c>
      <c r="B61" t="s">
        <v>14</v>
      </c>
      <c r="C61">
        <v>129.69999999999999</v>
      </c>
      <c r="D61">
        <v>1978.4</v>
      </c>
      <c r="E61">
        <v>2773.9</v>
      </c>
      <c r="F61" s="4">
        <v>-204.60000000000002</v>
      </c>
      <c r="G61">
        <v>-6.5567843627578704</v>
      </c>
      <c r="H61">
        <v>12</v>
      </c>
      <c r="I61" t="s">
        <v>18</v>
      </c>
      <c r="J61" t="s">
        <v>19</v>
      </c>
      <c r="K61">
        <v>7</v>
      </c>
      <c r="L61">
        <v>123.1</v>
      </c>
    </row>
    <row r="62" spans="1:12" x14ac:dyDescent="0.45">
      <c r="A62">
        <v>33</v>
      </c>
      <c r="B62" t="s">
        <v>11</v>
      </c>
      <c r="C62">
        <v>169.3</v>
      </c>
      <c r="D62">
        <v>2627.2</v>
      </c>
      <c r="E62">
        <v>4000</v>
      </c>
      <c r="F62" s="4">
        <v>372.79999999999995</v>
      </c>
      <c r="G62">
        <v>4.4000000000000004</v>
      </c>
      <c r="H62">
        <v>11</v>
      </c>
      <c r="I62" t="s">
        <v>15</v>
      </c>
      <c r="J62" t="s">
        <v>17</v>
      </c>
      <c r="K62">
        <v>3</v>
      </c>
      <c r="L62">
        <v>173.7</v>
      </c>
    </row>
    <row r="63" spans="1:12" x14ac:dyDescent="0.45">
      <c r="A63">
        <v>33</v>
      </c>
      <c r="B63" t="s">
        <v>14</v>
      </c>
      <c r="C63">
        <v>169.9</v>
      </c>
      <c r="D63">
        <v>2385</v>
      </c>
      <c r="E63">
        <v>3795.2</v>
      </c>
      <c r="F63" s="4">
        <v>410.20000000000005</v>
      </c>
      <c r="G63">
        <v>-12.9951209757348</v>
      </c>
      <c r="H63">
        <v>5</v>
      </c>
      <c r="I63" t="s">
        <v>20</v>
      </c>
      <c r="J63" t="s">
        <v>19</v>
      </c>
      <c r="K63">
        <v>9</v>
      </c>
      <c r="L63">
        <v>156.9</v>
      </c>
    </row>
    <row r="64" spans="1:12" x14ac:dyDescent="0.45">
      <c r="A64">
        <v>32</v>
      </c>
      <c r="B64" t="s">
        <v>14</v>
      </c>
      <c r="C64">
        <v>142.80000000000001</v>
      </c>
      <c r="D64">
        <v>2119.4</v>
      </c>
      <c r="E64">
        <v>2785.4</v>
      </c>
      <c r="F64" s="4">
        <v>-334</v>
      </c>
      <c r="G64">
        <v>1.4</v>
      </c>
      <c r="H64">
        <v>7</v>
      </c>
      <c r="I64" t="s">
        <v>12</v>
      </c>
      <c r="J64" t="s">
        <v>16</v>
      </c>
      <c r="K64">
        <v>3</v>
      </c>
      <c r="L64">
        <v>144.19999999999999</v>
      </c>
    </row>
    <row r="65" spans="1:12" x14ac:dyDescent="0.45">
      <c r="A65">
        <v>32</v>
      </c>
      <c r="B65" t="s">
        <v>11</v>
      </c>
      <c r="C65">
        <v>206.5</v>
      </c>
      <c r="D65">
        <v>3004.2</v>
      </c>
      <c r="E65">
        <v>4000</v>
      </c>
      <c r="F65" s="4">
        <v>-4.2000000000000455</v>
      </c>
      <c r="G65">
        <v>3</v>
      </c>
      <c r="H65">
        <v>10</v>
      </c>
      <c r="I65" t="s">
        <v>18</v>
      </c>
      <c r="J65" t="s">
        <v>16</v>
      </c>
      <c r="K65">
        <v>1</v>
      </c>
      <c r="L65">
        <v>209.5</v>
      </c>
    </row>
    <row r="66" spans="1:12" x14ac:dyDescent="0.45">
      <c r="A66">
        <v>32</v>
      </c>
      <c r="B66" t="s">
        <v>14</v>
      </c>
      <c r="C66">
        <v>114.5</v>
      </c>
      <c r="D66">
        <v>1836.6</v>
      </c>
      <c r="E66">
        <v>2724.7</v>
      </c>
      <c r="F66" s="4">
        <v>-111.79999999999995</v>
      </c>
      <c r="G66">
        <v>-5.6592466751278003</v>
      </c>
      <c r="H66">
        <v>4</v>
      </c>
      <c r="I66" t="s">
        <v>15</v>
      </c>
      <c r="J66" t="s">
        <v>19</v>
      </c>
      <c r="K66">
        <v>5</v>
      </c>
      <c r="L66">
        <v>108.8</v>
      </c>
    </row>
    <row r="67" spans="1:12" x14ac:dyDescent="0.45">
      <c r="A67">
        <v>32</v>
      </c>
      <c r="B67" t="s">
        <v>14</v>
      </c>
      <c r="C67">
        <v>113.4</v>
      </c>
      <c r="D67">
        <v>1825.5</v>
      </c>
      <c r="E67">
        <v>2987.7</v>
      </c>
      <c r="F67" s="4">
        <v>162.20000000000005</v>
      </c>
      <c r="G67">
        <v>3.6</v>
      </c>
      <c r="H67">
        <v>12</v>
      </c>
      <c r="I67" t="s">
        <v>20</v>
      </c>
      <c r="J67" t="s">
        <v>17</v>
      </c>
      <c r="K67">
        <v>1</v>
      </c>
      <c r="L67">
        <v>117</v>
      </c>
    </row>
    <row r="68" spans="1:12" x14ac:dyDescent="0.45">
      <c r="A68">
        <v>31</v>
      </c>
      <c r="B68" t="s">
        <v>14</v>
      </c>
      <c r="C68">
        <v>153.9</v>
      </c>
      <c r="D68">
        <v>2235.6999999999998</v>
      </c>
      <c r="E68">
        <v>3195.6</v>
      </c>
      <c r="F68" s="4">
        <v>-40.100000000000023</v>
      </c>
      <c r="G68">
        <v>2.4</v>
      </c>
      <c r="H68">
        <v>8</v>
      </c>
      <c r="I68" t="s">
        <v>18</v>
      </c>
      <c r="J68" t="s">
        <v>16</v>
      </c>
      <c r="K68">
        <v>6</v>
      </c>
      <c r="L68">
        <v>156.30000000000001</v>
      </c>
    </row>
    <row r="69" spans="1:12" x14ac:dyDescent="0.45">
      <c r="A69">
        <v>31</v>
      </c>
      <c r="B69" t="s">
        <v>11</v>
      </c>
      <c r="C69">
        <v>181.9</v>
      </c>
      <c r="D69">
        <v>2762.7</v>
      </c>
      <c r="E69">
        <v>3433.5</v>
      </c>
      <c r="F69" s="4">
        <v>-329.20000000000005</v>
      </c>
      <c r="G69">
        <v>1.8</v>
      </c>
      <c r="H69">
        <v>9</v>
      </c>
      <c r="I69" t="s">
        <v>12</v>
      </c>
      <c r="J69" t="s">
        <v>16</v>
      </c>
      <c r="K69">
        <v>4</v>
      </c>
      <c r="L69">
        <v>183.7</v>
      </c>
    </row>
    <row r="70" spans="1:12" x14ac:dyDescent="0.45">
      <c r="A70">
        <v>31</v>
      </c>
      <c r="B70" t="s">
        <v>14</v>
      </c>
      <c r="C70">
        <v>189.6</v>
      </c>
      <c r="D70">
        <v>2592.4</v>
      </c>
      <c r="E70">
        <v>4000</v>
      </c>
      <c r="F70" s="4">
        <v>407.59999999999991</v>
      </c>
      <c r="G70">
        <v>-4.75482104575475</v>
      </c>
      <c r="H70">
        <v>3</v>
      </c>
      <c r="I70" t="s">
        <v>15</v>
      </c>
      <c r="J70" t="s">
        <v>19</v>
      </c>
      <c r="K70">
        <v>6</v>
      </c>
      <c r="L70">
        <v>184.8</v>
      </c>
    </row>
    <row r="71" spans="1:12" x14ac:dyDescent="0.45">
      <c r="A71">
        <v>31</v>
      </c>
      <c r="B71" t="s">
        <v>11</v>
      </c>
      <c r="C71">
        <v>140.4</v>
      </c>
      <c r="D71">
        <v>2348.1</v>
      </c>
      <c r="E71">
        <v>3602.8</v>
      </c>
      <c r="F71" s="4">
        <v>254.59999999999991</v>
      </c>
      <c r="G71">
        <v>0.8</v>
      </c>
      <c r="H71">
        <v>2</v>
      </c>
      <c r="I71" t="s">
        <v>18</v>
      </c>
      <c r="J71" t="s">
        <v>16</v>
      </c>
      <c r="K71">
        <v>2</v>
      </c>
      <c r="L71">
        <v>141.19999999999999</v>
      </c>
    </row>
    <row r="72" spans="1:12" x14ac:dyDescent="0.45">
      <c r="A72">
        <v>29</v>
      </c>
      <c r="B72" t="s">
        <v>11</v>
      </c>
      <c r="C72">
        <v>207</v>
      </c>
      <c r="D72">
        <v>3023.3</v>
      </c>
      <c r="E72">
        <v>4000</v>
      </c>
      <c r="F72" s="4">
        <v>-23.299999999999955</v>
      </c>
      <c r="G72">
        <v>1.8</v>
      </c>
      <c r="H72">
        <v>6</v>
      </c>
      <c r="I72" t="s">
        <v>20</v>
      </c>
      <c r="J72" t="s">
        <v>16</v>
      </c>
      <c r="K72">
        <v>4</v>
      </c>
      <c r="L72">
        <v>208.8</v>
      </c>
    </row>
    <row r="73" spans="1:12" x14ac:dyDescent="0.45">
      <c r="A73">
        <v>28</v>
      </c>
      <c r="B73" t="s">
        <v>14</v>
      </c>
      <c r="C73">
        <v>169.5</v>
      </c>
      <c r="D73">
        <v>2406.9</v>
      </c>
      <c r="E73">
        <v>3890.2</v>
      </c>
      <c r="F73" s="4">
        <v>483.40000000000009</v>
      </c>
      <c r="G73">
        <v>-8.4766329839358594</v>
      </c>
      <c r="H73">
        <v>10</v>
      </c>
      <c r="I73" t="s">
        <v>15</v>
      </c>
      <c r="J73" t="s">
        <v>19</v>
      </c>
      <c r="K73">
        <v>1</v>
      </c>
      <c r="L73">
        <v>161</v>
      </c>
    </row>
    <row r="74" spans="1:12" x14ac:dyDescent="0.45">
      <c r="A74">
        <v>28</v>
      </c>
      <c r="B74" t="s">
        <v>14</v>
      </c>
      <c r="C74">
        <v>169.2</v>
      </c>
      <c r="D74">
        <v>2403.3000000000002</v>
      </c>
      <c r="E74">
        <v>2485.8000000000002</v>
      </c>
      <c r="F74" s="4">
        <v>-917.5</v>
      </c>
      <c r="G74">
        <v>0</v>
      </c>
      <c r="H74">
        <v>2</v>
      </c>
      <c r="I74" t="s">
        <v>12</v>
      </c>
      <c r="J74" t="s">
        <v>13</v>
      </c>
      <c r="K74">
        <v>7</v>
      </c>
      <c r="L74">
        <v>169.2</v>
      </c>
    </row>
    <row r="75" spans="1:12" x14ac:dyDescent="0.45">
      <c r="A75">
        <v>28</v>
      </c>
      <c r="B75" t="s">
        <v>11</v>
      </c>
      <c r="C75">
        <v>209</v>
      </c>
      <c r="D75">
        <v>3048.9</v>
      </c>
      <c r="E75">
        <v>4000</v>
      </c>
      <c r="F75" s="4">
        <v>-48.899999999999977</v>
      </c>
      <c r="G75">
        <v>-4.4548391429855601</v>
      </c>
      <c r="H75">
        <v>10</v>
      </c>
      <c r="I75" t="s">
        <v>18</v>
      </c>
      <c r="J75" t="s">
        <v>19</v>
      </c>
      <c r="K75">
        <v>3</v>
      </c>
      <c r="L75">
        <v>204.5</v>
      </c>
    </row>
    <row r="76" spans="1:12" x14ac:dyDescent="0.45">
      <c r="A76">
        <v>27</v>
      </c>
      <c r="B76" t="s">
        <v>14</v>
      </c>
      <c r="C76">
        <v>197.6</v>
      </c>
      <c r="D76">
        <v>2692.7</v>
      </c>
      <c r="E76">
        <v>4000</v>
      </c>
      <c r="F76" s="4">
        <v>307.29999999999995</v>
      </c>
      <c r="G76">
        <v>2</v>
      </c>
      <c r="H76">
        <v>5</v>
      </c>
      <c r="I76" t="s">
        <v>15</v>
      </c>
      <c r="J76" t="s">
        <v>13</v>
      </c>
      <c r="K76">
        <v>6</v>
      </c>
      <c r="L76">
        <v>199.6</v>
      </c>
    </row>
    <row r="77" spans="1:12" x14ac:dyDescent="0.45">
      <c r="A77">
        <v>26</v>
      </c>
      <c r="B77" t="s">
        <v>14</v>
      </c>
      <c r="C77">
        <v>172.4</v>
      </c>
      <c r="D77">
        <v>2445.8000000000002</v>
      </c>
      <c r="E77">
        <v>3379.8</v>
      </c>
      <c r="F77" s="4">
        <v>-66</v>
      </c>
      <c r="G77">
        <v>-0.73611670650415695</v>
      </c>
      <c r="H77">
        <v>2</v>
      </c>
      <c r="I77" t="s">
        <v>18</v>
      </c>
      <c r="J77" t="s">
        <v>19</v>
      </c>
      <c r="K77">
        <v>1</v>
      </c>
      <c r="L77">
        <v>171.7</v>
      </c>
    </row>
    <row r="78" spans="1:12" x14ac:dyDescent="0.45">
      <c r="A78">
        <v>26</v>
      </c>
      <c r="B78" t="s">
        <v>11</v>
      </c>
      <c r="C78">
        <v>202.9</v>
      </c>
      <c r="D78">
        <v>2997.7</v>
      </c>
      <c r="E78">
        <v>3803.8</v>
      </c>
      <c r="F78" s="4">
        <v>-194</v>
      </c>
      <c r="G78">
        <v>-5.0069824297658796</v>
      </c>
      <c r="H78">
        <v>9</v>
      </c>
      <c r="I78" t="s">
        <v>12</v>
      </c>
      <c r="J78" t="s">
        <v>19</v>
      </c>
      <c r="K78">
        <v>5</v>
      </c>
      <c r="L78">
        <v>197.9</v>
      </c>
    </row>
    <row r="79" spans="1:12" x14ac:dyDescent="0.45">
      <c r="A79">
        <v>26</v>
      </c>
      <c r="B79" t="s">
        <v>11</v>
      </c>
      <c r="C79">
        <v>125.1</v>
      </c>
      <c r="D79">
        <v>2219.3000000000002</v>
      </c>
      <c r="E79">
        <v>2647.8</v>
      </c>
      <c r="F79" s="4">
        <v>-571.5</v>
      </c>
      <c r="G79">
        <v>1.2</v>
      </c>
      <c r="H79">
        <v>12</v>
      </c>
      <c r="I79" t="s">
        <v>12</v>
      </c>
      <c r="J79" t="s">
        <v>16</v>
      </c>
      <c r="K79">
        <v>6</v>
      </c>
      <c r="L79">
        <v>126.3</v>
      </c>
    </row>
    <row r="80" spans="1:12" x14ac:dyDescent="0.45">
      <c r="A80">
        <v>25</v>
      </c>
      <c r="B80" t="s">
        <v>14</v>
      </c>
      <c r="C80">
        <v>145.5</v>
      </c>
      <c r="D80">
        <v>2181.3000000000002</v>
      </c>
      <c r="E80">
        <v>2587.3000000000002</v>
      </c>
      <c r="F80" s="4">
        <v>-594</v>
      </c>
      <c r="G80">
        <v>0.8</v>
      </c>
      <c r="H80">
        <v>8</v>
      </c>
      <c r="I80" t="s">
        <v>12</v>
      </c>
      <c r="J80" t="s">
        <v>17</v>
      </c>
      <c r="K80">
        <v>2</v>
      </c>
      <c r="L80">
        <v>146.30000000000001</v>
      </c>
    </row>
    <row r="81" spans="1:12" x14ac:dyDescent="0.45">
      <c r="A81">
        <v>25</v>
      </c>
      <c r="B81" t="s">
        <v>14</v>
      </c>
      <c r="C81">
        <v>190.3</v>
      </c>
      <c r="D81">
        <v>2629.7</v>
      </c>
      <c r="E81">
        <v>4000</v>
      </c>
      <c r="F81" s="4">
        <v>370.29999999999995</v>
      </c>
      <c r="G81">
        <v>4.8</v>
      </c>
      <c r="H81">
        <v>12</v>
      </c>
      <c r="I81" t="s">
        <v>15</v>
      </c>
      <c r="J81" t="s">
        <v>17</v>
      </c>
      <c r="K81">
        <v>6</v>
      </c>
      <c r="L81">
        <v>195.1</v>
      </c>
    </row>
    <row r="82" spans="1:12" x14ac:dyDescent="0.45">
      <c r="A82">
        <v>25</v>
      </c>
      <c r="B82" t="s">
        <v>11</v>
      </c>
      <c r="C82">
        <v>205.1</v>
      </c>
      <c r="D82">
        <v>3024.3</v>
      </c>
      <c r="E82">
        <v>4000</v>
      </c>
      <c r="F82" s="4">
        <v>-24.299999999999955</v>
      </c>
      <c r="G82">
        <v>-7.8863315139557804</v>
      </c>
      <c r="H82">
        <v>9</v>
      </c>
      <c r="I82" t="s">
        <v>15</v>
      </c>
      <c r="J82" t="s">
        <v>17</v>
      </c>
      <c r="K82">
        <v>9</v>
      </c>
      <c r="L82">
        <v>197.2</v>
      </c>
    </row>
    <row r="83" spans="1:12" x14ac:dyDescent="0.45">
      <c r="A83">
        <v>25</v>
      </c>
      <c r="B83" t="s">
        <v>11</v>
      </c>
      <c r="C83">
        <v>165.8</v>
      </c>
      <c r="D83">
        <v>2631.5</v>
      </c>
      <c r="E83">
        <v>3536</v>
      </c>
      <c r="F83" s="4">
        <v>-95.5</v>
      </c>
      <c r="G83">
        <v>1.5</v>
      </c>
      <c r="H83">
        <v>5</v>
      </c>
      <c r="I83" t="s">
        <v>18</v>
      </c>
      <c r="J83" t="s">
        <v>13</v>
      </c>
      <c r="K83">
        <v>2</v>
      </c>
      <c r="L83">
        <v>167.3</v>
      </c>
    </row>
    <row r="84" spans="1:12" x14ac:dyDescent="0.45">
      <c r="A84">
        <v>25</v>
      </c>
      <c r="B84" t="s">
        <v>11</v>
      </c>
      <c r="C84">
        <v>195.5</v>
      </c>
      <c r="D84">
        <v>2928.8</v>
      </c>
      <c r="E84">
        <v>3758.6</v>
      </c>
      <c r="F84" s="4">
        <v>-170.20000000000005</v>
      </c>
      <c r="G84">
        <v>0.8</v>
      </c>
      <c r="H84">
        <v>4</v>
      </c>
      <c r="I84" t="s">
        <v>18</v>
      </c>
      <c r="J84" t="s">
        <v>13</v>
      </c>
      <c r="K84">
        <v>3</v>
      </c>
      <c r="L84">
        <v>196.3</v>
      </c>
    </row>
    <row r="85" spans="1:12" x14ac:dyDescent="0.45">
      <c r="A85">
        <v>24</v>
      </c>
      <c r="B85" t="s">
        <v>11</v>
      </c>
      <c r="C85">
        <v>181.3</v>
      </c>
      <c r="D85">
        <v>2792.2</v>
      </c>
      <c r="E85">
        <v>3944.2</v>
      </c>
      <c r="F85" s="4">
        <v>152</v>
      </c>
      <c r="G85">
        <v>-9.7716013406853097</v>
      </c>
      <c r="H85">
        <v>7</v>
      </c>
      <c r="I85" t="s">
        <v>18</v>
      </c>
      <c r="J85" t="s">
        <v>16</v>
      </c>
      <c r="K85">
        <v>8</v>
      </c>
      <c r="L85">
        <v>171.5</v>
      </c>
    </row>
    <row r="86" spans="1:12" x14ac:dyDescent="0.45">
      <c r="A86">
        <v>24</v>
      </c>
      <c r="B86" t="s">
        <v>14</v>
      </c>
      <c r="C86">
        <v>144.9</v>
      </c>
      <c r="D86">
        <v>2180.1999999999998</v>
      </c>
      <c r="E86">
        <v>3225.2</v>
      </c>
      <c r="F86" s="4">
        <v>45</v>
      </c>
      <c r="G86">
        <v>-5.5797177644138296</v>
      </c>
      <c r="H86">
        <v>9</v>
      </c>
      <c r="I86" t="s">
        <v>18</v>
      </c>
      <c r="J86" t="s">
        <v>19</v>
      </c>
      <c r="K86">
        <v>7</v>
      </c>
      <c r="L86">
        <v>139.30000000000001</v>
      </c>
    </row>
    <row r="87" spans="1:12" x14ac:dyDescent="0.45">
      <c r="A87">
        <v>24</v>
      </c>
      <c r="B87" t="s">
        <v>11</v>
      </c>
      <c r="C87">
        <v>186.2</v>
      </c>
      <c r="D87">
        <v>2840.6</v>
      </c>
      <c r="E87">
        <v>3911.7</v>
      </c>
      <c r="F87" s="4">
        <v>71</v>
      </c>
      <c r="G87">
        <v>-14.453604085928999</v>
      </c>
      <c r="H87">
        <v>6</v>
      </c>
      <c r="I87" t="s">
        <v>20</v>
      </c>
      <c r="J87" t="s">
        <v>19</v>
      </c>
      <c r="K87">
        <v>8</v>
      </c>
      <c r="L87">
        <v>171.7</v>
      </c>
    </row>
    <row r="88" spans="1:12" x14ac:dyDescent="0.45">
      <c r="A88">
        <v>24</v>
      </c>
      <c r="B88" t="s">
        <v>11</v>
      </c>
      <c r="C88">
        <v>185.2</v>
      </c>
      <c r="D88">
        <v>2830.7</v>
      </c>
      <c r="E88">
        <v>4000</v>
      </c>
      <c r="F88" s="4">
        <v>169.29999999999995</v>
      </c>
      <c r="G88">
        <v>2.7</v>
      </c>
      <c r="H88">
        <v>9</v>
      </c>
      <c r="I88" t="s">
        <v>15</v>
      </c>
      <c r="J88" t="s">
        <v>17</v>
      </c>
      <c r="K88">
        <v>7</v>
      </c>
      <c r="L88">
        <v>187.9</v>
      </c>
    </row>
    <row r="89" spans="1:12" x14ac:dyDescent="0.45">
      <c r="A89">
        <v>23</v>
      </c>
      <c r="B89" t="s">
        <v>14</v>
      </c>
      <c r="C89">
        <v>185</v>
      </c>
      <c r="D89">
        <v>2587</v>
      </c>
      <c r="E89">
        <v>3327.8</v>
      </c>
      <c r="F89" s="4">
        <v>-259.20000000000005</v>
      </c>
      <c r="G89">
        <v>2</v>
      </c>
      <c r="H89">
        <v>10</v>
      </c>
      <c r="I89" t="s">
        <v>12</v>
      </c>
      <c r="J89" t="s">
        <v>16</v>
      </c>
      <c r="K89">
        <v>3</v>
      </c>
      <c r="L89">
        <v>187</v>
      </c>
    </row>
    <row r="90" spans="1:12" x14ac:dyDescent="0.45">
      <c r="A90">
        <v>22</v>
      </c>
      <c r="B90" t="s">
        <v>11</v>
      </c>
      <c r="C90">
        <v>214.4</v>
      </c>
      <c r="D90">
        <v>3132.7</v>
      </c>
      <c r="E90">
        <v>4000</v>
      </c>
      <c r="F90" s="4">
        <v>-132.70000000000005</v>
      </c>
      <c r="G90">
        <v>2.4</v>
      </c>
      <c r="H90">
        <v>12</v>
      </c>
      <c r="I90" t="s">
        <v>18</v>
      </c>
      <c r="J90" t="s">
        <v>16</v>
      </c>
      <c r="K90">
        <v>3</v>
      </c>
      <c r="L90">
        <v>216.8</v>
      </c>
    </row>
    <row r="91" spans="1:12" x14ac:dyDescent="0.45">
      <c r="A91">
        <v>21</v>
      </c>
      <c r="B91" t="s">
        <v>11</v>
      </c>
      <c r="C91">
        <v>191.5</v>
      </c>
      <c r="D91">
        <v>2909.2</v>
      </c>
      <c r="E91">
        <v>4000</v>
      </c>
      <c r="F91" s="4">
        <v>90.799999999999955</v>
      </c>
      <c r="G91">
        <v>1.2</v>
      </c>
      <c r="H91">
        <v>4</v>
      </c>
      <c r="I91" t="s">
        <v>18</v>
      </c>
      <c r="J91" t="s">
        <v>17</v>
      </c>
      <c r="K91">
        <v>5</v>
      </c>
      <c r="L91">
        <v>192.7</v>
      </c>
    </row>
    <row r="92" spans="1:12" x14ac:dyDescent="0.45">
      <c r="A92">
        <v>21</v>
      </c>
      <c r="B92" t="s">
        <v>11</v>
      </c>
      <c r="C92">
        <v>181.3</v>
      </c>
      <c r="D92">
        <v>2807.1</v>
      </c>
      <c r="E92">
        <v>4000</v>
      </c>
      <c r="F92" s="4">
        <v>192.90000000000009</v>
      </c>
      <c r="G92">
        <v>-1.1358263786563001</v>
      </c>
      <c r="H92">
        <v>5</v>
      </c>
      <c r="I92" t="s">
        <v>20</v>
      </c>
      <c r="J92" t="s">
        <v>17</v>
      </c>
      <c r="K92">
        <v>9</v>
      </c>
      <c r="L92">
        <v>180.2</v>
      </c>
    </row>
    <row r="93" spans="1:12" x14ac:dyDescent="0.45">
      <c r="A93">
        <v>21</v>
      </c>
      <c r="B93" t="s">
        <v>14</v>
      </c>
      <c r="C93">
        <v>175.4</v>
      </c>
      <c r="D93">
        <v>2500.6999999999998</v>
      </c>
      <c r="E93">
        <v>3314.8</v>
      </c>
      <c r="F93" s="4">
        <v>-185.79999999999995</v>
      </c>
      <c r="G93">
        <v>-2.6577203645565102</v>
      </c>
      <c r="H93">
        <v>5</v>
      </c>
      <c r="I93" t="s">
        <v>12</v>
      </c>
      <c r="J93" t="s">
        <v>19</v>
      </c>
      <c r="K93">
        <v>3</v>
      </c>
      <c r="L93">
        <v>172.7</v>
      </c>
    </row>
    <row r="94" spans="1:12" x14ac:dyDescent="0.45">
      <c r="A94">
        <v>20</v>
      </c>
      <c r="B94" t="s">
        <v>14</v>
      </c>
      <c r="C94">
        <v>168.1</v>
      </c>
      <c r="D94">
        <v>2432.1999999999998</v>
      </c>
      <c r="E94">
        <v>3885.8</v>
      </c>
      <c r="F94" s="4">
        <v>453.59999999999991</v>
      </c>
      <c r="G94">
        <v>-2.3309636335467601</v>
      </c>
      <c r="H94">
        <v>8</v>
      </c>
      <c r="I94" t="s">
        <v>15</v>
      </c>
      <c r="J94" t="s">
        <v>19</v>
      </c>
      <c r="K94">
        <v>7</v>
      </c>
      <c r="L94">
        <v>165.8</v>
      </c>
    </row>
    <row r="95" spans="1:12" x14ac:dyDescent="0.45">
      <c r="A95">
        <v>20</v>
      </c>
      <c r="B95" t="s">
        <v>11</v>
      </c>
      <c r="C95">
        <v>158.30000000000001</v>
      </c>
      <c r="D95">
        <v>2581.9</v>
      </c>
      <c r="E95">
        <v>4000</v>
      </c>
      <c r="F95" s="4">
        <v>418.09999999999991</v>
      </c>
      <c r="G95">
        <v>-2.2035061849246298</v>
      </c>
      <c r="H95">
        <v>10</v>
      </c>
      <c r="I95" t="s">
        <v>15</v>
      </c>
      <c r="J95" t="s">
        <v>19</v>
      </c>
      <c r="K95">
        <v>5</v>
      </c>
      <c r="L95">
        <v>156.1</v>
      </c>
    </row>
    <row r="96" spans="1:12" x14ac:dyDescent="0.45">
      <c r="A96">
        <v>19</v>
      </c>
      <c r="B96" t="s">
        <v>11</v>
      </c>
      <c r="C96">
        <v>167.6</v>
      </c>
      <c r="D96">
        <v>2679.7</v>
      </c>
      <c r="E96">
        <v>3252.4</v>
      </c>
      <c r="F96" s="4">
        <v>-427.29999999999995</v>
      </c>
      <c r="G96">
        <v>1.2</v>
      </c>
      <c r="H96">
        <v>6</v>
      </c>
      <c r="I96" t="s">
        <v>12</v>
      </c>
      <c r="J96" t="s">
        <v>16</v>
      </c>
      <c r="K96">
        <v>2</v>
      </c>
      <c r="L96">
        <v>168.8</v>
      </c>
    </row>
    <row r="97" spans="1:12" x14ac:dyDescent="0.45">
      <c r="A97">
        <v>19</v>
      </c>
      <c r="B97" t="s">
        <v>11</v>
      </c>
      <c r="C97">
        <v>100</v>
      </c>
      <c r="D97">
        <v>2003.8</v>
      </c>
      <c r="E97">
        <v>3086.2</v>
      </c>
      <c r="F97" s="4">
        <v>82.5</v>
      </c>
      <c r="G97">
        <v>2.7</v>
      </c>
      <c r="H97">
        <v>9</v>
      </c>
      <c r="I97" t="s">
        <v>18</v>
      </c>
      <c r="J97" t="s">
        <v>16</v>
      </c>
      <c r="K97">
        <v>2</v>
      </c>
      <c r="L97">
        <v>102.7</v>
      </c>
    </row>
    <row r="98" spans="1:12" x14ac:dyDescent="0.45">
      <c r="A98">
        <v>19</v>
      </c>
      <c r="B98" t="s">
        <v>14</v>
      </c>
      <c r="C98">
        <v>100</v>
      </c>
      <c r="D98">
        <v>1756.5</v>
      </c>
      <c r="E98">
        <v>2148.6999999999998</v>
      </c>
      <c r="F98" s="4">
        <v>-607.79999999999995</v>
      </c>
      <c r="G98">
        <v>-1.7940639836913701</v>
      </c>
      <c r="H98">
        <v>1</v>
      </c>
      <c r="I98" t="s">
        <v>12</v>
      </c>
      <c r="J98" t="s">
        <v>19</v>
      </c>
      <c r="K98">
        <v>3</v>
      </c>
      <c r="L98">
        <v>98.2</v>
      </c>
    </row>
    <row r="99" spans="1:12" x14ac:dyDescent="0.45">
      <c r="A99">
        <v>19</v>
      </c>
      <c r="B99" t="s">
        <v>11</v>
      </c>
      <c r="C99">
        <v>171.9</v>
      </c>
      <c r="D99">
        <v>2722.6</v>
      </c>
      <c r="E99">
        <v>3434.8</v>
      </c>
      <c r="F99" s="4">
        <v>-287.79999999999995</v>
      </c>
      <c r="G99">
        <v>-7.2955803819746903</v>
      </c>
      <c r="H99">
        <v>6</v>
      </c>
      <c r="I99" t="s">
        <v>18</v>
      </c>
      <c r="J99" t="s">
        <v>19</v>
      </c>
      <c r="K99">
        <v>3</v>
      </c>
      <c r="L99">
        <v>164.6</v>
      </c>
    </row>
    <row r="100" spans="1:12" x14ac:dyDescent="0.45">
      <c r="A100">
        <v>18</v>
      </c>
      <c r="B100" t="s">
        <v>11</v>
      </c>
      <c r="C100">
        <v>238.2</v>
      </c>
      <c r="D100">
        <v>3390.8</v>
      </c>
      <c r="E100">
        <v>4000</v>
      </c>
      <c r="F100" s="4">
        <v>-390.79999999999995</v>
      </c>
      <c r="G100">
        <v>-5.7184959924849004</v>
      </c>
      <c r="H100">
        <v>10</v>
      </c>
      <c r="I100" t="s">
        <v>20</v>
      </c>
      <c r="J100" t="s">
        <v>19</v>
      </c>
      <c r="K100">
        <v>3</v>
      </c>
      <c r="L100">
        <v>232.5</v>
      </c>
    </row>
    <row r="101" spans="1:12" x14ac:dyDescent="0.45">
      <c r="A101">
        <v>18</v>
      </c>
      <c r="B101" t="s">
        <v>11</v>
      </c>
      <c r="C101">
        <v>182.4</v>
      </c>
      <c r="D101">
        <v>2832.8</v>
      </c>
      <c r="E101">
        <v>4000</v>
      </c>
      <c r="F101" s="4">
        <v>167.20000000000005</v>
      </c>
      <c r="G101">
        <v>-17.150130677860499</v>
      </c>
      <c r="H101">
        <v>12</v>
      </c>
      <c r="I101" t="s">
        <v>20</v>
      </c>
      <c r="J101" t="s">
        <v>19</v>
      </c>
      <c r="K101">
        <v>8</v>
      </c>
      <c r="L101">
        <v>165.2</v>
      </c>
    </row>
  </sheetData>
  <sortState xmlns:xlrd2="http://schemas.microsoft.com/office/spreadsheetml/2017/richdata2" ref="A2:L101">
    <sortCondition descending="1" ref="A1:A101"/>
  </sortState>
  <conditionalFormatting sqref="F1:F1048576">
    <cfRule type="colorScale" priority="1">
      <colorScale>
        <cfvo type="min"/>
        <cfvo type="percentile" val="50"/>
        <cfvo type="max"/>
        <color rgb="FF63BE7B"/>
        <color rgb="FFFCFCFF"/>
        <color rgb="FFF8696B"/>
      </colorScale>
    </cfRule>
  </conditionalFormatting>
  <conditionalFormatting sqref="F3:F101 E2:F2">
    <cfRule type="cellIs" dxfId="0" priority="9" operator="equal">
      <formula>$D$2</formula>
    </cfRule>
  </conditionalFormatting>
  <conditionalFormatting sqref="F36">
    <cfRule type="colorScale" priority="2">
      <colorScale>
        <cfvo type="min"/>
        <cfvo type="percentile" val="50"/>
        <cfvo type="max"/>
        <color rgb="FF63BE7B"/>
        <color rgb="FFFCFCFF"/>
        <color rgb="FFF8696B"/>
      </colorScale>
    </cfRule>
  </conditionalFormatting>
  <conditionalFormatting sqref="G1:G1048576">
    <cfRule type="colorScale" priority="11">
      <colorScale>
        <cfvo type="min"/>
        <cfvo type="percentile" val="50"/>
        <cfvo type="max"/>
        <color rgb="FF63BE7B"/>
        <color rgb="FFFCFCFF"/>
        <color rgb="FFF8696B"/>
      </colorScale>
    </cfRule>
  </conditionalFormatting>
  <conditionalFormatting sqref="K1:K1048576">
    <cfRule type="colorScale" priority="10">
      <colorScale>
        <cfvo type="min"/>
        <cfvo type="percentile" val="50"/>
        <cfvo type="max"/>
        <color rgb="FF63BE7B"/>
        <color rgb="FFFFEB84"/>
        <color rgb="FFF8696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E38BD-78DC-4D4C-9E3C-B451B88F53D1}">
  <dimension ref="A1:F3"/>
  <sheetViews>
    <sheetView topLeftCell="B1" workbookViewId="0">
      <selection activeCell="A6" sqref="A6:XFD6"/>
    </sheetView>
  </sheetViews>
  <sheetFormatPr defaultRowHeight="14.25" x14ac:dyDescent="0.45"/>
  <cols>
    <col min="1" max="1" width="16.33203125" bestFit="1" customWidth="1"/>
    <col min="2" max="2" width="14.73046875" bestFit="1" customWidth="1"/>
    <col min="3" max="3" width="3.73046875" bestFit="1" customWidth="1"/>
    <col min="4" max="4" width="5" bestFit="1" customWidth="1"/>
    <col min="5" max="5" width="4.46484375" bestFit="1" customWidth="1"/>
    <col min="6" max="6" width="9.86328125" bestFit="1" customWidth="1"/>
    <col min="7" max="41" width="2.73046875" bestFit="1" customWidth="1"/>
    <col min="42" max="42" width="6.33203125" bestFit="1" customWidth="1"/>
    <col min="43" max="43" width="9.86328125" bestFit="1" customWidth="1"/>
  </cols>
  <sheetData>
    <row r="1" spans="1:6" x14ac:dyDescent="0.45">
      <c r="B1" s="3" t="s">
        <v>23</v>
      </c>
    </row>
    <row r="2" spans="1:6" x14ac:dyDescent="0.45">
      <c r="B2" t="s">
        <v>13</v>
      </c>
      <c r="C2" t="s">
        <v>17</v>
      </c>
      <c r="D2" t="s">
        <v>16</v>
      </c>
      <c r="E2" t="s">
        <v>19</v>
      </c>
      <c r="F2" t="s">
        <v>22</v>
      </c>
    </row>
    <row r="3" spans="1:6" x14ac:dyDescent="0.45">
      <c r="A3" t="s">
        <v>24</v>
      </c>
      <c r="B3" s="5">
        <v>26</v>
      </c>
      <c r="C3" s="5">
        <v>28</v>
      </c>
      <c r="D3" s="5">
        <v>4</v>
      </c>
      <c r="E3" s="5">
        <v>56</v>
      </c>
      <c r="F3" s="5">
        <v>114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weight_change_dataset</vt:lpstr>
      <vt:lpstr>stressvsleep_chart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pidgeon royal</dc:creator>
  <cp:lastModifiedBy>pidgeon royal</cp:lastModifiedBy>
  <dcterms:created xsi:type="dcterms:W3CDTF">2026-02-05T21:37:27Z</dcterms:created>
  <dcterms:modified xsi:type="dcterms:W3CDTF">2026-02-05T23:24:51Z</dcterms:modified>
</cp:coreProperties>
</file>